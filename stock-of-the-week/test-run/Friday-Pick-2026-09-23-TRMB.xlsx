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cenarios" sheetId="2" state="visible" r:id="rId2"/>
    <sheet name="Assumptions" sheetId="3" state="visible" r:id="rId3"/>
    <sheet name="Income Statement" sheetId="4" state="visible" r:id="rId4"/>
    <sheet name="Balance Sheet" sheetId="5" state="visible" r:id="rId5"/>
    <sheet name="Cash Flow" sheetId="6" state="visible" r:id="rId6"/>
    <sheet name="Ratios" sheetId="7" state="visible" r:id="rId7"/>
    <sheet name="DCF" sheetId="8" state="visible" r:id="rId8"/>
    <sheet name="Data" sheetId="9" state="visible" r:id="rId9"/>
  </sheets>
  <definedNames/>
  <calcPr calcId="124519" fullCalcOnLoad="1"/>
</workbook>
</file>

<file path=xl/styles.xml><?xml version="1.0" encoding="utf-8"?>
<styleSheet xmlns="http://schemas.openxmlformats.org/spreadsheetml/2006/main">
  <numFmts count="7">
    <numFmt numFmtId="164" formatCode="$#,##0.00;($#,##0.00);&quot;–&quot;"/>
    <numFmt numFmtId="165" formatCode="0.0%;(0.0%);&quot;–&quot;"/>
    <numFmt numFmtId="166" formatCode="0.0&quot;x&quot;;(0.0&quot;x&quot;);&quot;–&quot;"/>
    <numFmt numFmtId="167" formatCode="#,##0;(#,##0);&quot;–&quot;"/>
    <numFmt numFmtId="168" formatCode="0.0"/>
    <numFmt numFmtId="169" formatCode="#,##0.0;(#,##0.0);&quot;–&quot;"/>
    <numFmt numFmtId="170" formatCode="0.000"/>
  </numFmts>
  <fonts count="13">
    <font>
      <name val="Calibri"/>
      <family val="2"/>
      <color theme="1"/>
      <sz val="11"/>
      <scheme val="minor"/>
    </font>
    <font>
      <name val="Calibri"/>
      <b val="1"/>
      <color rgb="001B2A4A"/>
      <sz val="15"/>
    </font>
    <font>
      <name val="Calibri"/>
      <i val="1"/>
      <color rgb="006B7385"/>
      <sz val="9"/>
    </font>
    <font>
      <name val="Calibri"/>
      <b val="1"/>
      <color rgb="00FFFFFF"/>
      <sz val="10"/>
    </font>
    <font>
      <name val="Calibri"/>
      <b val="1"/>
      <color rgb="001B2A4A"/>
      <sz val="10"/>
    </font>
    <font>
      <name val="Calibri"/>
      <b val="1"/>
      <color rgb="001B2433"/>
      <sz val="10"/>
    </font>
    <font>
      <name val="Calibri"/>
      <b val="1"/>
      <color rgb="001E7B34"/>
      <sz val="10"/>
    </font>
    <font>
      <name val="Calibri"/>
      <color rgb="001B2433"/>
      <sz val="10"/>
    </font>
    <font>
      <name val="Calibri"/>
      <color rgb="001F4FB4"/>
      <sz val="10"/>
    </font>
    <font>
      <name val="Calibri"/>
      <color rgb="001E7B34"/>
      <sz val="10"/>
    </font>
    <font>
      <name val="Calibri"/>
      <b val="1"/>
      <color rgb="001F4FB4"/>
      <sz val="10"/>
    </font>
    <font>
      <name val="Calibri"/>
      <b val="1"/>
      <color rgb="001F4FB4"/>
      <sz val="12"/>
    </font>
    <font>
      <name val="Calibri"/>
      <b val="1"/>
      <color rgb="001B2A4A"/>
      <sz val="18"/>
    </font>
  </fonts>
  <fills count="7">
    <fill>
      <patternFill/>
    </fill>
    <fill>
      <patternFill patternType="gray125"/>
    </fill>
    <fill>
      <patternFill patternType="solid">
        <fgColor rgb="001B2A4A"/>
      </patternFill>
    </fill>
    <fill>
      <patternFill patternType="solid">
        <fgColor rgb="00E6EAF2"/>
      </patternFill>
    </fill>
    <fill>
      <patternFill patternType="solid">
        <fgColor rgb="00F3F5F9"/>
      </patternFill>
    </fill>
    <fill>
      <patternFill patternType="solid">
        <fgColor rgb="00FFF6D5"/>
      </patternFill>
    </fill>
    <fill>
      <patternFill patternType="solid">
        <fgColor rgb="00E3F1E7"/>
      </patternFill>
    </fill>
  </fills>
  <borders count="4">
    <border>
      <left/>
      <right/>
      <top/>
      <bottom/>
      <diagonal/>
    </border>
    <border>
      <left style="medium">
        <color rgb="00FFFFFF"/>
      </left>
    </border>
    <border>
      <top style="thin">
        <color rgb="009AA3B5"/>
      </top>
    </border>
    <border>
      <top style="thin">
        <color rgb="009AA3B5"/>
      </top>
      <bottom style="double">
        <color rgb="009AA3B5"/>
      </bottom>
    </border>
  </borders>
  <cellStyleXfs count="1">
    <xf numFmtId="0" fontId="0" fillId="0" borderId="0"/>
  </cellStyleXfs>
  <cellXfs count="131">
    <xf numFmtId="0" fontId="0" fillId="0" borderId="0" pivotButton="0" quotePrefix="0" xfId="0"/>
    <xf numFmtId="0" fontId="12" fillId="0" borderId="0" pivotButton="0" quotePrefix="0" xfId="0"/>
    <xf numFmtId="0" fontId="2" fillId="0" borderId="0" pivotButton="0" quotePrefix="0" xfId="0"/>
    <xf numFmtId="0" fontId="5" fillId="0" borderId="0" pivotButton="0" quotePrefix="0" xfId="0"/>
    <xf numFmtId="0" fontId="9" fillId="0" borderId="0" applyAlignment="1" pivotButton="0" quotePrefix="0" xfId="0">
      <alignment horizontal="left" vertical="top" wrapText="1"/>
    </xf>
    <xf numFmtId="164" fontId="9" fillId="0" borderId="0" applyAlignment="1" pivotButton="0" quotePrefix="0" xfId="0">
      <alignment horizontal="left" vertical="top" wrapText="1"/>
    </xf>
    <xf numFmtId="165" fontId="9" fillId="0" borderId="0" applyAlignment="1" pivotButton="0" quotePrefix="0" xfId="0">
      <alignment horizontal="left" vertical="top" wrapText="1"/>
    </xf>
    <xf numFmtId="0" fontId="7" fillId="0" borderId="0" applyAlignment="1" pivotButton="0" quotePrefix="0" xfId="0">
      <alignment horizontal="left" vertical="top" wrapText="1"/>
    </xf>
    <xf numFmtId="0" fontId="1" fillId="0" borderId="0" pivotButton="0" quotePrefix="0" xfId="0"/>
    <xf numFmtId="1" fontId="11" fillId="5" borderId="0" pivotButton="0" quotePrefix="0" xfId="0"/>
    <xf numFmtId="0" fontId="3" fillId="2" borderId="0" applyAlignment="1" pivotButton="0" quotePrefix="0" xfId="0">
      <alignment horizontal="left"/>
    </xf>
    <xf numFmtId="0" fontId="0" fillId="2" borderId="0" pivotButton="0" quotePrefix="0" xfId="0"/>
    <xf numFmtId="0" fontId="3" fillId="2" borderId="0" applyAlignment="1" pivotButton="0" quotePrefix="0" xfId="0">
      <alignment horizontal="right"/>
    </xf>
    <xf numFmtId="0" fontId="7" fillId="0" borderId="0" pivotButton="0" quotePrefix="0" xfId="0"/>
    <xf numFmtId="165" fontId="8" fillId="5" borderId="0" pivotButton="0" quotePrefix="0" xfId="0"/>
    <xf numFmtId="165" fontId="5" fillId="0" borderId="0" pivotButton="0" quotePrefix="0" xfId="0"/>
    <xf numFmtId="166" fontId="8" fillId="5" borderId="0" pivotButton="0" quotePrefix="0" xfId="0"/>
    <xf numFmtId="166" fontId="5" fillId="0" borderId="0" pivotButton="0" quotePrefix="0" xfId="0"/>
    <xf numFmtId="165" fontId="2" fillId="0" borderId="0" pivotButton="0" quotePrefix="0" xfId="0"/>
    <xf numFmtId="0" fontId="7" fillId="0" borderId="0" applyAlignment="1" pivotButton="0" quotePrefix="0" xfId="0">
      <alignment vertical="top"/>
    </xf>
    <xf numFmtId="0" fontId="8" fillId="0" borderId="0" applyAlignment="1" pivotButton="0" quotePrefix="0" xfId="0">
      <alignment vertical="top" wrapText="1"/>
    </xf>
    <xf numFmtId="167" fontId="0" fillId="0" borderId="0" pivotButton="0" quotePrefix="0" xfId="0"/>
    <xf numFmtId="167" fontId="5" fillId="0" borderId="0" pivotButton="0" quotePrefix="0" xfId="0"/>
    <xf numFmtId="167" fontId="9" fillId="0" borderId="0" pivotButton="0" quotePrefix="0" xfId="0"/>
    <xf numFmtId="165" fontId="0" fillId="0" borderId="0" pivotButton="0" quotePrefix="0" xfId="0"/>
    <xf numFmtId="165" fontId="9" fillId="0" borderId="0" pivotButton="0" quotePrefix="0" xfId="0"/>
    <xf numFmtId="164" fontId="0" fillId="0" borderId="0" pivotButton="0" quotePrefix="0" xfId="0"/>
    <xf numFmtId="164" fontId="5" fillId="0" borderId="0" pivotButton="0" quotePrefix="0" xfId="0"/>
    <xf numFmtId="164" fontId="9" fillId="0" borderId="0" pivotButton="0" quotePrefix="0" xfId="0"/>
    <xf numFmtId="0" fontId="2" fillId="0" borderId="0" pivotButton="0" quotePrefix="0" xfId="0"/>
    <xf numFmtId="0" fontId="3" fillId="2" borderId="0" pivotButton="0" quotePrefix="0" xfId="0"/>
    <xf numFmtId="0" fontId="3" fillId="2" borderId="1" applyAlignment="1" pivotButton="0" quotePrefix="0" xfId="0">
      <alignment horizontal="right"/>
    </xf>
    <xf numFmtId="0" fontId="4" fillId="3" borderId="0" pivotButton="0" quotePrefix="0" xfId="0"/>
    <xf numFmtId="0" fontId="0" fillId="3" borderId="0" pivotButton="0" quotePrefix="0" xfId="0"/>
    <xf numFmtId="165" fontId="6" fillId="4" borderId="0" pivotButton="0" quotePrefix="0" xfId="0"/>
    <xf numFmtId="0" fontId="7" fillId="0" borderId="0" applyAlignment="1" pivotButton="0" quotePrefix="0" xfId="0">
      <alignment indent="1"/>
    </xf>
    <xf numFmtId="168" fontId="8" fillId="5" borderId="0" pivotButton="0" quotePrefix="0" xfId="0"/>
    <xf numFmtId="167" fontId="8" fillId="5" borderId="0" pivotButton="0" quotePrefix="0" xfId="0"/>
    <xf numFmtId="167" fontId="10" fillId="0" borderId="0" pivotButton="0" quotePrefix="0" xfId="0"/>
    <xf numFmtId="167" fontId="6" fillId="4" borderId="0" pivotButton="0" quotePrefix="0" xfId="0"/>
    <xf numFmtId="165" fontId="7" fillId="0" borderId="0" pivotButton="0" quotePrefix="0" xfId="0"/>
    <xf numFmtId="165" fontId="7" fillId="4" borderId="0" pivotButton="0" quotePrefix="0" xfId="0"/>
    <xf numFmtId="167" fontId="8" fillId="0" borderId="0" pivotButton="0" quotePrefix="0" xfId="0"/>
    <xf numFmtId="167" fontId="9" fillId="4" borderId="0" pivotButton="0" quotePrefix="0" xfId="0"/>
    <xf numFmtId="167" fontId="5" fillId="0" borderId="2" pivotButton="0" quotePrefix="0" xfId="0"/>
    <xf numFmtId="167" fontId="5" fillId="4" borderId="2" pivotButton="0" quotePrefix="0" xfId="0"/>
    <xf numFmtId="167" fontId="7" fillId="0" borderId="2" pivotButton="0" quotePrefix="0" xfId="0"/>
    <xf numFmtId="167" fontId="7" fillId="4" borderId="2" pivotButton="0" quotePrefix="0" xfId="0"/>
    <xf numFmtId="167" fontId="8" fillId="4" borderId="0" pivotButton="0" quotePrefix="0" xfId="0"/>
    <xf numFmtId="167" fontId="5" fillId="0" borderId="3" pivotButton="0" quotePrefix="0" xfId="0"/>
    <xf numFmtId="167" fontId="5" fillId="4" borderId="3" pivotButton="0" quotePrefix="0" xfId="0"/>
    <xf numFmtId="169" fontId="9" fillId="4" borderId="0" pivotButton="0" quotePrefix="0" xfId="0"/>
    <xf numFmtId="169" fontId="7" fillId="4" borderId="0" pivotButton="0" quotePrefix="0" xfId="0"/>
    <xf numFmtId="164" fontId="9" fillId="4" borderId="0" pivotButton="0" quotePrefix="0" xfId="0"/>
    <xf numFmtId="169" fontId="7" fillId="4" borderId="2" pivotButton="0" quotePrefix="0" xfId="0"/>
    <xf numFmtId="169" fontId="10" fillId="0" borderId="0" pivotButton="0" quotePrefix="0" xfId="0"/>
    <xf numFmtId="169" fontId="5" fillId="4" borderId="0" pivotButton="0" quotePrefix="0" xfId="0"/>
    <xf numFmtId="164" fontId="5" fillId="4" borderId="0" pivotButton="0" quotePrefix="0" xfId="0"/>
    <xf numFmtId="167" fontId="5" fillId="4" borderId="0" pivotButton="0" quotePrefix="0" xfId="0"/>
    <xf numFmtId="167" fontId="7" fillId="4" borderId="0" pivotButton="0" quotePrefix="0" xfId="0"/>
    <xf numFmtId="169" fontId="7" fillId="0" borderId="0" pivotButton="0" quotePrefix="0" xfId="0"/>
    <xf numFmtId="1" fontId="7" fillId="4" borderId="0" pivotButton="0" quotePrefix="0" xfId="0"/>
    <xf numFmtId="165" fontId="9" fillId="4" borderId="0" pivotButton="0" quotePrefix="0" xfId="0"/>
    <xf numFmtId="167" fontId="7" fillId="0" borderId="0" pivotButton="0" quotePrefix="0" xfId="0"/>
    <xf numFmtId="165" fontId="6" fillId="0" borderId="0" pivotButton="0" quotePrefix="0" xfId="0"/>
    <xf numFmtId="166" fontId="9" fillId="0" borderId="0" pivotButton="0" quotePrefix="0" xfId="0"/>
    <xf numFmtId="166" fontId="9" fillId="4" borderId="0" pivotButton="0" quotePrefix="0" xfId="0"/>
    <xf numFmtId="168" fontId="9" fillId="0" borderId="0" pivotButton="0" quotePrefix="0" xfId="0"/>
    <xf numFmtId="168" fontId="9" fillId="4" borderId="0" pivotButton="0" quotePrefix="0" xfId="0"/>
    <xf numFmtId="164" fontId="8" fillId="5" borderId="0" pivotButton="0" quotePrefix="0" xfId="0"/>
    <xf numFmtId="0" fontId="8" fillId="5" borderId="0" pivotButton="0" quotePrefix="0" xfId="0"/>
    <xf numFmtId="169" fontId="8" fillId="5" borderId="0" pivotButton="0" quotePrefix="0" xfId="0"/>
    <xf numFmtId="2" fontId="8" fillId="5" borderId="0" pivotButton="0" quotePrefix="0" xfId="0"/>
    <xf numFmtId="1" fontId="8" fillId="5" borderId="0" pivotButton="0" quotePrefix="0" xfId="0"/>
    <xf numFmtId="168" fontId="7" fillId="0" borderId="0" pivotButton="0" quotePrefix="0" xfId="0"/>
    <xf numFmtId="170" fontId="7" fillId="0" borderId="0" pivotButton="0" quotePrefix="0" xfId="0"/>
    <xf numFmtId="166" fontId="7" fillId="0" borderId="0" pivotButton="0" quotePrefix="0" xfId="0"/>
    <xf numFmtId="164" fontId="5" fillId="6" borderId="0" pivotButton="0" quotePrefix="0" xfId="0"/>
    <xf numFmtId="164" fontId="7" fillId="0" borderId="0" pivotButton="0" quotePrefix="0" xfId="0"/>
    <xf numFmtId="3" fontId="8" fillId="0" borderId="0" pivotButton="0" quotePrefix="0" xfId="0"/>
    <xf numFmtId="164" fontId="9" fillId="0" borderId="0" applyAlignment="1" pivotButton="0" quotePrefix="0" xfId="0">
      <alignment horizontal="left" vertical="top" wrapText="1"/>
    </xf>
    <xf numFmtId="165" fontId="9" fillId="0" borderId="0" applyAlignment="1" pivotButton="0" quotePrefix="0" xfId="0">
      <alignment horizontal="left" vertical="top" wrapText="1"/>
    </xf>
    <xf numFmtId="165" fontId="8" fillId="5" borderId="0" pivotButton="0" quotePrefix="0" xfId="0"/>
    <xf numFmtId="165" fontId="5" fillId="0" borderId="0" pivotButton="0" quotePrefix="0" xfId="0"/>
    <xf numFmtId="166" fontId="8" fillId="5" borderId="0" pivotButton="0" quotePrefix="0" xfId="0"/>
    <xf numFmtId="166" fontId="5" fillId="0" borderId="0" pivotButton="0" quotePrefix="0" xfId="0"/>
    <xf numFmtId="165" fontId="2" fillId="0" borderId="0" pivotButton="0" quotePrefix="0" xfId="0"/>
    <xf numFmtId="167" fontId="7" fillId="0" borderId="0" pivotButton="0" quotePrefix="0" xfId="0"/>
    <xf numFmtId="167" fontId="5" fillId="0" borderId="0" pivotButton="0" quotePrefix="0" xfId="0"/>
    <xf numFmtId="167" fontId="9" fillId="0" borderId="0" pivotButton="0" quotePrefix="0" xfId="0"/>
    <xf numFmtId="165" fontId="7" fillId="0" borderId="0" pivotButton="0" quotePrefix="0" xfId="0"/>
    <xf numFmtId="165" fontId="9" fillId="0" borderId="0" pivotButton="0" quotePrefix="0" xfId="0"/>
    <xf numFmtId="164" fontId="7" fillId="0" borderId="0" pivotButton="0" quotePrefix="0" xfId="0"/>
    <xf numFmtId="164" fontId="5" fillId="0" borderId="0" pivotButton="0" quotePrefix="0" xfId="0"/>
    <xf numFmtId="164" fontId="9" fillId="0" borderId="0" pivotButton="0" quotePrefix="0" xfId="0"/>
    <xf numFmtId="165" fontId="6" fillId="4" borderId="0" pivotButton="0" quotePrefix="0" xfId="0"/>
    <xf numFmtId="168" fontId="8" fillId="5" borderId="0" pivotButton="0" quotePrefix="0" xfId="0"/>
    <xf numFmtId="167" fontId="8" fillId="5" borderId="0" pivotButton="0" quotePrefix="0" xfId="0"/>
    <xf numFmtId="167" fontId="10" fillId="0" borderId="0" pivotButton="0" quotePrefix="0" xfId="0"/>
    <xf numFmtId="167" fontId="6" fillId="4" borderId="0" pivotButton="0" quotePrefix="0" xfId="0"/>
    <xf numFmtId="165" fontId="7" fillId="4" borderId="0" pivotButton="0" quotePrefix="0" xfId="0"/>
    <xf numFmtId="167" fontId="8" fillId="0" borderId="0" pivotButton="0" quotePrefix="0" xfId="0"/>
    <xf numFmtId="167" fontId="9" fillId="4" borderId="0" pivotButton="0" quotePrefix="0" xfId="0"/>
    <xf numFmtId="167" fontId="5" fillId="0" borderId="2" pivotButton="0" quotePrefix="0" xfId="0"/>
    <xf numFmtId="167" fontId="5" fillId="4" borderId="2" pivotButton="0" quotePrefix="0" xfId="0"/>
    <xf numFmtId="167" fontId="7" fillId="0" borderId="2" pivotButton="0" quotePrefix="0" xfId="0"/>
    <xf numFmtId="167" fontId="7" fillId="4" borderId="2" pivotButton="0" quotePrefix="0" xfId="0"/>
    <xf numFmtId="167" fontId="8" fillId="4" borderId="0" pivotButton="0" quotePrefix="0" xfId="0"/>
    <xf numFmtId="167" fontId="5" fillId="0" borderId="3" pivotButton="0" quotePrefix="0" xfId="0"/>
    <xf numFmtId="167" fontId="5" fillId="4" borderId="3" pivotButton="0" quotePrefix="0" xfId="0"/>
    <xf numFmtId="169" fontId="9" fillId="4" borderId="0" pivotButton="0" quotePrefix="0" xfId="0"/>
    <xf numFmtId="169" fontId="7" fillId="4" borderId="0" pivotButton="0" quotePrefix="0" xfId="0"/>
    <xf numFmtId="164" fontId="9" fillId="4" borderId="0" pivotButton="0" quotePrefix="0" xfId="0"/>
    <xf numFmtId="169" fontId="7" fillId="4" borderId="2" pivotButton="0" quotePrefix="0" xfId="0"/>
    <xf numFmtId="169" fontId="10" fillId="0" borderId="0" pivotButton="0" quotePrefix="0" xfId="0"/>
    <xf numFmtId="169" fontId="5" fillId="4" borderId="0" pivotButton="0" quotePrefix="0" xfId="0"/>
    <xf numFmtId="164" fontId="5" fillId="4" borderId="0" pivotButton="0" quotePrefix="0" xfId="0"/>
    <xf numFmtId="167" fontId="5" fillId="4" borderId="0" pivotButton="0" quotePrefix="0" xfId="0"/>
    <xf numFmtId="167" fontId="7" fillId="4" borderId="0" pivotButton="0" quotePrefix="0" xfId="0"/>
    <xf numFmtId="169" fontId="7" fillId="0" borderId="0" pivotButton="0" quotePrefix="0" xfId="0"/>
    <xf numFmtId="165" fontId="9" fillId="4" borderId="0" pivotButton="0" quotePrefix="0" xfId="0"/>
    <xf numFmtId="165" fontId="6" fillId="0" borderId="0" pivotButton="0" quotePrefix="0" xfId="0"/>
    <xf numFmtId="166" fontId="9" fillId="0" borderId="0" pivotButton="0" quotePrefix="0" xfId="0"/>
    <xf numFmtId="166" fontId="9" fillId="4" borderId="0" pivotButton="0" quotePrefix="0" xfId="0"/>
    <xf numFmtId="168" fontId="9" fillId="0" borderId="0" pivotButton="0" quotePrefix="0" xfId="0"/>
    <xf numFmtId="168" fontId="9" fillId="4" borderId="0" pivotButton="0" quotePrefix="0" xfId="0"/>
    <xf numFmtId="164" fontId="8" fillId="5" borderId="0" pivotButton="0" quotePrefix="0" xfId="0"/>
    <xf numFmtId="169" fontId="8" fillId="5" borderId="0" pivotButton="0" quotePrefix="0" xfId="0"/>
    <xf numFmtId="168" fontId="7" fillId="0" borderId="0" pivotButton="0" quotePrefix="0" xfId="0"/>
    <xf numFmtId="166" fontId="7" fillId="0" borderId="0" pivotButton="0" quotePrefix="0" xfId="0"/>
    <xf numFmtId="164"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1"/>
  <sheetViews>
    <sheetView showGridLines="0" workbookViewId="0">
      <selection activeCell="A1" sqref="A1"/>
    </sheetView>
  </sheetViews>
  <sheetFormatPr baseColWidth="8" defaultRowHeight="15"/>
  <cols>
    <col width="38" customWidth="1" min="1" max="1"/>
    <col width="70" customWidth="1" min="2" max="2"/>
  </cols>
  <sheetData>
    <row r="1">
      <c r="A1" s="1" t="inlineStr">
        <is>
          <t>Trimble Inc. (TRMB)</t>
        </is>
      </c>
    </row>
    <row r="2">
      <c r="A2" s="29" t="inlineStr">
        <is>
          <t>Three-statement model · scenario analysis · DCF valuation</t>
        </is>
      </c>
    </row>
    <row r="4">
      <c r="A4" s="3" t="inlineStr">
        <is>
          <t>Selected scenario</t>
        </is>
      </c>
      <c r="B4" s="4">
        <f>Scenarios!D5</f>
        <v/>
      </c>
    </row>
    <row r="5">
      <c r="A5" s="3" t="inlineStr">
        <is>
          <t>Share price</t>
        </is>
      </c>
      <c r="B5" s="80">
        <f>DCF!C5</f>
        <v/>
      </c>
    </row>
    <row r="6">
      <c r="A6" s="3" t="inlineStr">
        <is>
          <t>Price date</t>
        </is>
      </c>
      <c r="B6" s="4">
        <f>DCF!C6</f>
        <v/>
      </c>
    </row>
    <row r="7">
      <c r="A7" s="3" t="inlineStr">
        <is>
          <t>Value per share, selected scenario (blend)</t>
        </is>
      </c>
      <c r="B7" s="80">
        <f>DCF!C56</f>
        <v/>
      </c>
    </row>
    <row r="8">
      <c r="A8" s="3" t="inlineStr">
        <is>
          <t>Value per share, probability-weighted</t>
        </is>
      </c>
      <c r="B8" s="80">
        <f>Scenarios!F24</f>
        <v/>
      </c>
    </row>
    <row r="9">
      <c r="A9" s="3" t="inlineStr">
        <is>
          <t>Upside / (downside), probability-weighted</t>
        </is>
      </c>
      <c r="B9" s="81">
        <f>Scenarios!F25</f>
        <v/>
      </c>
    </row>
    <row r="10">
      <c r="A10" s="3" t="inlineStr">
        <is>
          <t>WACC</t>
        </is>
      </c>
      <c r="B10" s="81">
        <f>DCF!C24</f>
        <v/>
      </c>
    </row>
    <row r="11">
      <c r="A11" s="3" t="inlineStr"/>
      <c r="B11" s="7" t="inlineStr"/>
    </row>
    <row r="12">
      <c r="A12" s="3" t="inlineStr">
        <is>
          <t>Balance sheet balances in every year</t>
        </is>
      </c>
      <c r="B12" s="4">
        <f>IF(SUMPRODUCT(ABS('Balance Sheet'!C27:I27))&lt;0.01,"Yes","NO — check the Balance Sheet")</f>
        <v/>
      </c>
    </row>
    <row r="13">
      <c r="A13" s="3" t="inlineStr">
        <is>
          <t>Cash stays positive in every year</t>
        </is>
      </c>
      <c r="B13" s="4">
        <f>IF(MIN('Balance Sheet'!E28:I28)=1,"Yes","NO — reduce buybacks or add debt")</f>
        <v/>
      </c>
    </row>
    <row r="14">
      <c r="A14" s="3" t="inlineStr"/>
      <c r="B14" s="7" t="inlineStr"/>
    </row>
    <row r="15">
      <c r="A15" s="3" t="inlineStr">
        <is>
          <t>Historical years</t>
        </is>
      </c>
      <c r="B15" s="7" t="inlineStr">
        <is>
          <t>FY2024A – FY2025A (10-K XBRL)</t>
        </is>
      </c>
    </row>
    <row r="16">
      <c r="A16" s="3" t="inlineStr">
        <is>
          <t>Projection years</t>
        </is>
      </c>
      <c r="B16" s="7" t="inlineStr">
        <is>
          <t>FY2026E – FY2030E</t>
        </is>
      </c>
    </row>
    <row r="17">
      <c r="A17" s="3" t="inlineStr">
        <is>
          <t>Units</t>
        </is>
      </c>
      <c r="B17" s="7" t="inlineStr">
        <is>
          <t>$ millions except per-share</t>
        </is>
      </c>
    </row>
    <row r="18">
      <c r="A18" s="3" t="inlineStr">
        <is>
          <t>Source</t>
        </is>
      </c>
      <c r="B18" s="7" t="inlineStr">
        <is>
          <t>Trimble 10-K FY2024 and FY2025 and Q4 earnings releases, collected via web search (test run; SEC API blocked in this environment)</t>
        </is>
      </c>
    </row>
    <row r="19">
      <c r="A19" s="3" t="inlineStr">
        <is>
          <t>Colour code</t>
        </is>
      </c>
      <c r="B19" s="7" t="inlineStr">
        <is>
          <t>Blue = hard-coded input · Black = formula · Green = link to another sheet · Yellow fill = input cell</t>
        </is>
      </c>
    </row>
    <row r="20">
      <c r="A20" s="3" t="inlineStr">
        <is>
          <t>How to use</t>
        </is>
      </c>
      <c r="B20" s="7" t="inlineStr">
        <is>
          <t>Switch scenarios on the Scenarios sheet (cell C5). Edit yellow cells on Scenarios, Assumptions and DCF.</t>
        </is>
      </c>
    </row>
    <row r="21" ht="44" customHeight="1">
      <c r="A21" s="3" t="inlineStr">
        <is>
          <t>Method notes</t>
        </is>
      </c>
      <c r="B21" s="7" t="inlineStr">
        <is>
          <t>Condensed balance sheet with 'other' lines plugged to reported totals. Interest on opening balances (no circularity). Buybacks retire shares at the current price grown at the cost of equity. Stock comp treated as a cash cost in the DCF.</t>
        </is>
      </c>
    </row>
  </sheetData>
  <printOptions gridLines="0"/>
  <pageMargins left="0.75" right="0.75" top="1" bottom="1" header="0.5" footer="0.5"/>
  <pageSetup orientation="landscape" fitToHeight="0" fitToWidth="1"/>
  <headerFooter>
    <oddHeader/>
    <oddFooter>&amp;CTrimble Inc. (TRMB) · &amp;A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27"/>
  <sheetViews>
    <sheetView showGridLines="0" workbookViewId="0">
      <selection activeCell="A1" sqref="A1"/>
    </sheetView>
  </sheetViews>
  <sheetFormatPr baseColWidth="8" defaultRowHeight="15"/>
  <cols>
    <col width="44" customWidth="1" min="1" max="1"/>
    <col width="4" customWidth="1" min="2" max="2"/>
    <col width="14" customWidth="1" min="3" max="3"/>
    <col width="14" customWidth="1" min="4" max="4"/>
    <col width="14" customWidth="1" min="5" max="5"/>
    <col width="16" customWidth="1" min="6" max="6"/>
    <col width="16" customWidth="1" min="7" max="7"/>
    <col width="4" customWidth="1" min="8" max="8"/>
  </cols>
  <sheetData>
    <row r="1">
      <c r="A1" s="8" t="inlineStr">
        <is>
          <t>Scenarios</t>
        </is>
      </c>
    </row>
    <row r="2">
      <c r="A2" s="29" t="inlineStr">
        <is>
          <t>Pick a scenario and every sheet (statements, ratios, DCF) recalculates for it.</t>
        </is>
      </c>
    </row>
    <row r="5">
      <c r="A5" s="3" t="inlineStr">
        <is>
          <t>Selected scenario (1 = Bear, 2 = Base, 3 = Bull)</t>
        </is>
      </c>
      <c r="C5" s="9" t="n">
        <v>2</v>
      </c>
      <c r="D5" s="3">
        <f>CHOOSE(C5,"Bear","Base","Bull")</f>
        <v/>
      </c>
    </row>
    <row r="7">
      <c r="A7" s="10" t="inlineStr">
        <is>
          <t>Scenario settings</t>
        </is>
      </c>
      <c r="B7" s="11" t="n"/>
      <c r="C7" s="12" t="inlineStr">
        <is>
          <t>Bear</t>
        </is>
      </c>
      <c r="D7" s="12" t="inlineStr">
        <is>
          <t>Base</t>
        </is>
      </c>
      <c r="E7" s="12" t="inlineStr">
        <is>
          <t>Bull</t>
        </is>
      </c>
      <c r="F7" s="11" t="n"/>
      <c r="G7" s="12" t="inlineStr">
        <is>
          <t>Selected</t>
        </is>
      </c>
    </row>
    <row r="8">
      <c r="A8" s="13" t="inlineStr">
        <is>
          <t>Probability</t>
        </is>
      </c>
      <c r="C8" s="82" t="n">
        <v>0.25</v>
      </c>
      <c r="D8" s="82" t="n">
        <v>0.5</v>
      </c>
      <c r="E8" s="82" t="n">
        <v>0.25</v>
      </c>
      <c r="G8" s="83">
        <f>CHOOSE($C$5,C8,D8,E8)</f>
        <v/>
      </c>
    </row>
    <row r="9">
      <c r="A9" s="13" t="inlineStr">
        <is>
          <t>Terminal growth</t>
        </is>
      </c>
      <c r="C9" s="82" t="n">
        <v>0.02</v>
      </c>
      <c r="D9" s="82" t="n">
        <v>0.0275</v>
      </c>
      <c r="E9" s="82" t="n">
        <v>0.0325</v>
      </c>
      <c r="G9" s="83">
        <f>CHOOSE($C$5,C9,D9,E9)</f>
        <v/>
      </c>
    </row>
    <row r="10">
      <c r="A10" s="13" t="inlineStr">
        <is>
          <t>Exit EV / EBITDA</t>
        </is>
      </c>
      <c r="C10" s="84" t="n">
        <v>11</v>
      </c>
      <c r="D10" s="84" t="n">
        <v>14</v>
      </c>
      <c r="E10" s="84" t="n">
        <v>17</v>
      </c>
      <c r="G10" s="85">
        <f>CHOOSE($C$5,C10,D10,E10)</f>
        <v/>
      </c>
    </row>
    <row r="11">
      <c r="A11" s="29" t="inlineStr">
        <is>
          <t>Probabilities sum to</t>
        </is>
      </c>
      <c r="C11" s="86">
        <f>SUM(C8:E8)</f>
        <v/>
      </c>
    </row>
    <row r="12" ht="96" customHeight="1">
      <c r="A12" s="19" t="inlineStr">
        <is>
          <t>What has to be true</t>
        </is>
      </c>
      <c r="C12" s="20" t="inlineStr">
        <is>
          <t>FY26 lands at the $3.90B low end of guidance, the Field Systems product swap costs a further 400–500bp of segment ARR growth into 2027, and AI tools cap pricing: revenue growth halves to 4% from FY27 and GAAP operating margin stalls near 19%.</t>
        </is>
      </c>
      <c r="D12" s="20" t="inlineStr">
        <is>
          <t>Revenue meets the $3.925B FY26 guide (+9.4%) and growth steps down 0.5–1pt a year to 6% by FY30 as ARR (12% organic) becomes a larger share; mix lifts gross margin 50bp a year and SG&amp;A leverage takes GAAP operating margin from 16.5% to about 24.5%.</t>
        </is>
      </c>
      <c r="E12" s="20" t="inlineStr">
        <is>
          <t>The in-house Field Systems product ramps in 2027, AECO ARR holds its 14% pace and T&amp;L is sold: growth runs 9–10% through FY29, gross margin reaches 73.5% and GAAP operating margin passes 28% by FY30.</t>
        </is>
      </c>
    </row>
    <row r="14">
      <c r="A14" s="10" t="inlineStr">
        <is>
          <t>Scenario outputs</t>
        </is>
      </c>
      <c r="B14" s="11" t="n"/>
      <c r="C14" s="12" t="inlineStr">
        <is>
          <t>Bear</t>
        </is>
      </c>
      <c r="D14" s="12" t="inlineStr">
        <is>
          <t>Base</t>
        </is>
      </c>
      <c r="E14" s="12" t="inlineStr">
        <is>
          <t>Bull</t>
        </is>
      </c>
      <c r="F14" s="12" t="inlineStr">
        <is>
          <t>Prob.-weighted</t>
        </is>
      </c>
      <c r="G14" s="12" t="inlineStr">
        <is>
          <t>Live</t>
        </is>
      </c>
    </row>
    <row r="15">
      <c r="A15" s="13" t="inlineStr">
        <is>
          <t>Revenue, FY2030E</t>
        </is>
      </c>
      <c r="C15" s="87" t="n">
        <v>4496.15727829757</v>
      </c>
      <c r="D15" s="87" t="n">
        <v>5167.81409609844</v>
      </c>
      <c r="E15" s="87" t="n">
        <v>5595.223518522</v>
      </c>
      <c r="F15" s="88">
        <f>SUMPRODUCT($C$8:$E$8,C15:E15)</f>
        <v/>
      </c>
      <c r="G15" s="89">
        <f>'Income Statement'!I7</f>
        <v/>
      </c>
    </row>
    <row r="16">
      <c r="A16" s="13" t="inlineStr">
        <is>
          <t>Revenue CAGR, FY2025A–FY2030E</t>
        </is>
      </c>
      <c r="C16" s="90" t="n">
        <v>0.0462001053800998</v>
      </c>
      <c r="D16" s="90" t="n">
        <v>0.0757412863807871</v>
      </c>
      <c r="E16" s="90" t="n">
        <v>0.0929742960643507</v>
      </c>
      <c r="F16" s="83">
        <f>SUMPRODUCT($C$8:$E$8,C16:E16)</f>
        <v/>
      </c>
      <c r="G16" s="91">
        <f>('Income Statement'!I7/'Income Statement'!D7)^(1/5)-1</f>
        <v/>
      </c>
    </row>
    <row r="17">
      <c r="A17" s="13" t="inlineStr">
        <is>
          <t>Operating margin, FY2030E</t>
        </is>
      </c>
      <c r="C17" s="90" t="n">
        <v>0.18</v>
      </c>
      <c r="D17" s="90" t="n">
        <v>0.245</v>
      </c>
      <c r="E17" s="90" t="n">
        <v>0.285</v>
      </c>
      <c r="F17" s="83">
        <f>SUMPRODUCT($C$8:$E$8,C17:E17)</f>
        <v/>
      </c>
      <c r="G17" s="91">
        <f>'Income Statement'!I16</f>
        <v/>
      </c>
    </row>
    <row r="18">
      <c r="A18" s="13" t="inlineStr">
        <is>
          <t>Diluted EPS, FY2026E</t>
        </is>
      </c>
      <c r="C18" s="92" t="n">
        <v>2.07083443435208</v>
      </c>
      <c r="D18" s="92" t="n">
        <v>2.36664317188935</v>
      </c>
      <c r="E18" s="92" t="n">
        <v>2.59278564499685</v>
      </c>
      <c r="F18" s="93">
        <f>SUMPRODUCT($C$8:$E$8,C18:E18)</f>
        <v/>
      </c>
      <c r="G18" s="94">
        <f>'Income Statement'!E33</f>
        <v/>
      </c>
    </row>
    <row r="19">
      <c r="A19" s="13" t="inlineStr">
        <is>
          <t>Diluted EPS, FY2030E</t>
        </is>
      </c>
      <c r="C19" s="92" t="n">
        <v>3.15655046154969</v>
      </c>
      <c r="D19" s="92" t="n">
        <v>5.11025553390604</v>
      </c>
      <c r="E19" s="92" t="n">
        <v>6.51691098488789</v>
      </c>
      <c r="F19" s="93">
        <f>SUMPRODUCT($C$8:$E$8,C19:E19)</f>
        <v/>
      </c>
      <c r="G19" s="94">
        <f>'Income Statement'!I33</f>
        <v/>
      </c>
    </row>
    <row r="20">
      <c r="A20" s="13" t="inlineStr">
        <is>
          <t>Cumulative free cash flow, 5 years</t>
        </is>
      </c>
      <c r="C20" s="87" t="n">
        <v>4596.92550387278</v>
      </c>
      <c r="D20" s="87" t="n">
        <v>5948.21093518521</v>
      </c>
      <c r="E20" s="87" t="n">
        <v>6924.29671671692</v>
      </c>
      <c r="F20" s="88">
        <f>SUMPRODUCT($C$8:$E$8,C20:E20)</f>
        <v/>
      </c>
      <c r="G20" s="89">
        <f>SUM('Cash Flow'!E35:I35)</f>
        <v/>
      </c>
    </row>
    <row r="21">
      <c r="A21" s="13" t="inlineStr">
        <is>
          <t>ROIC, FY2030E</t>
        </is>
      </c>
      <c r="C21" s="90" t="n">
        <v>0.108735534016917</v>
      </c>
      <c r="D21" s="90" t="n">
        <v>0.172871851086256</v>
      </c>
      <c r="E21" s="90" t="n">
        <v>0.219491290494642</v>
      </c>
      <c r="F21" s="83">
        <f>SUMPRODUCT($C$8:$E$8,C21:E21)</f>
        <v/>
      </c>
      <c r="G21" s="91">
        <f>Ratios!I7</f>
        <v/>
      </c>
    </row>
    <row r="22">
      <c r="A22" s="13" t="inlineStr">
        <is>
          <t>Value per share, perpetuity ($)</t>
        </is>
      </c>
      <c r="C22" s="92" t="n">
        <v>35.001948980029</v>
      </c>
      <c r="D22" s="92" t="n">
        <v>56.368985447917</v>
      </c>
      <c r="E22" s="92" t="n">
        <v>73.66043447896929</v>
      </c>
      <c r="F22" s="93">
        <f>SUMPRODUCT($C$8:$E$8,C22:E22)</f>
        <v/>
      </c>
      <c r="G22" s="94">
        <f>DCF!B50</f>
        <v/>
      </c>
    </row>
    <row r="23">
      <c r="A23" s="13" t="inlineStr">
        <is>
          <t>Value per share, exit multiple ($)</t>
        </is>
      </c>
      <c r="C23" s="92" t="n">
        <v>37.3343971546807</v>
      </c>
      <c r="D23" s="92" t="n">
        <v>66.9303861471094</v>
      </c>
      <c r="E23" s="92" t="n">
        <v>96.92292954514809</v>
      </c>
      <c r="F23" s="93">
        <f>SUMPRODUCT($C$8:$E$8,C23:E23)</f>
        <v/>
      </c>
      <c r="G23" s="94">
        <f>DCF!C50</f>
        <v/>
      </c>
    </row>
    <row r="24">
      <c r="A24" s="3" t="inlineStr">
        <is>
          <t>Value per share, blend ($)</t>
        </is>
      </c>
      <c r="C24" s="92" t="n">
        <v>36.1681730673549</v>
      </c>
      <c r="D24" s="92" t="n">
        <v>61.6496857975132</v>
      </c>
      <c r="E24" s="92" t="n">
        <v>85.2916820120587</v>
      </c>
      <c r="F24" s="93">
        <f>SUMPRODUCT($C$8:$E$8,C24:E24)</f>
        <v/>
      </c>
      <c r="G24" s="94">
        <f>DCF!C56</f>
        <v/>
      </c>
    </row>
    <row r="25">
      <c r="A25" s="3" t="inlineStr">
        <is>
          <t>Upside / (downside) to current price</t>
        </is>
      </c>
      <c r="C25" s="90" t="n">
        <v>-0.369123093191089</v>
      </c>
      <c r="D25" s="90" t="n">
        <v>0.075347737615789</v>
      </c>
      <c r="E25" s="90" t="n">
        <v>0.487732112542451</v>
      </c>
      <c r="F25" s="83">
        <f>IF(DCF!$C$5=0,0,F24/DCF!$C$5-1)</f>
        <v/>
      </c>
      <c r="G25" s="91">
        <f>DCF!C57</f>
        <v/>
      </c>
    </row>
    <row r="27">
      <c r="A27" s="29" t="inlineStr">
        <is>
          <t>Bear, Base and Bull columns are values captured when the model was built (each scenario calculated in turn). The Live column follows the selector above.</t>
        </is>
      </c>
    </row>
  </sheetData>
  <printOptions gridLines="0"/>
  <pageMargins left="0.75" right="0.75" top="1" bottom="1" header="0.5" footer="0.5"/>
  <pageSetup orientation="landscape" fitToHeight="0" fitToWidth="1"/>
  <headerFooter>
    <oddHeader/>
    <oddFooter>&amp;CTrimble Inc. (TRMB) · &amp;A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51"/>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s>
  <sheetData>
    <row r="1">
      <c r="A1" s="8" t="inlineStr">
        <is>
          <t>Assumptions</t>
        </is>
      </c>
    </row>
    <row r="2">
      <c r="A2" s="29" t="inlineStr">
        <is>
          <t>Yellow cells are inputs. The live row in each block follows the scenario selected on the Scenarios sheet.</t>
        </is>
      </c>
    </row>
    <row r="3">
      <c r="C3" s="29" t="inlineStr">
        <is>
          <t>Actual</t>
        </is>
      </c>
      <c r="E3" s="29" t="inlineStr">
        <is>
          <t>Projected →</t>
        </is>
      </c>
    </row>
    <row r="4">
      <c r="A4" s="30" t="inlineStr">
        <is>
          <t>Fiscal year</t>
        </is>
      </c>
      <c r="B4" s="11" t="n"/>
      <c r="C4" s="12" t="inlineStr">
        <is>
          <t>FY2024A</t>
        </is>
      </c>
      <c r="D4" s="12" t="inlineStr">
        <is>
          <t>FY2025A</t>
        </is>
      </c>
      <c r="E4" s="31" t="inlineStr">
        <is>
          <t>FY2026E</t>
        </is>
      </c>
      <c r="F4" s="12" t="inlineStr">
        <is>
          <t>FY2027E</t>
        </is>
      </c>
      <c r="G4" s="12" t="inlineStr">
        <is>
          <t>FY2028E</t>
        </is>
      </c>
      <c r="H4" s="12" t="inlineStr">
        <is>
          <t>FY2029E</t>
        </is>
      </c>
      <c r="I4" s="12" t="inlineStr">
        <is>
          <t>FY2030E</t>
        </is>
      </c>
    </row>
    <row r="6">
      <c r="A6" s="32" t="inlineStr">
        <is>
          <t>Revenue growth</t>
        </is>
      </c>
      <c r="B6" s="33" t="n"/>
      <c r="C6" s="33" t="n"/>
      <c r="D6" s="33" t="n"/>
      <c r="E6" s="33" t="n"/>
      <c r="F6" s="33" t="n"/>
      <c r="G6" s="33" t="n"/>
      <c r="H6" s="33" t="n"/>
      <c r="I6" s="33" t="n"/>
    </row>
    <row r="7">
      <c r="A7" s="3" t="inlineStr">
        <is>
          <t>Live (selected scenario)</t>
        </is>
      </c>
      <c r="D7" s="91">
        <f>'Income Statement'!D8</f>
        <v/>
      </c>
      <c r="E7" s="95">
        <f>CHOOSE(Scenarios!$C$5,E8,E9,E10)</f>
        <v/>
      </c>
      <c r="F7" s="95">
        <f>CHOOSE(Scenarios!$C$5,F8,F9,F10)</f>
        <v/>
      </c>
      <c r="G7" s="95">
        <f>CHOOSE(Scenarios!$C$5,G8,G9,G10)</f>
        <v/>
      </c>
      <c r="H7" s="95">
        <f>CHOOSE(Scenarios!$C$5,H8,H9,H10)</f>
        <v/>
      </c>
      <c r="I7" s="95">
        <f>CHOOSE(Scenarios!$C$5,I8,I9,I10)</f>
        <v/>
      </c>
    </row>
    <row r="8">
      <c r="A8" s="35" t="inlineStr">
        <is>
          <t>Bear</t>
        </is>
      </c>
      <c r="E8" s="82" t="n">
        <v>0.08699999999999999</v>
      </c>
      <c r="F8" s="82" t="n">
        <v>0.04</v>
      </c>
      <c r="G8" s="82" t="n">
        <v>0.04</v>
      </c>
      <c r="H8" s="82" t="n">
        <v>0.035</v>
      </c>
      <c r="I8" s="82" t="n">
        <v>0.03</v>
      </c>
    </row>
    <row r="9">
      <c r="A9" s="35" t="inlineStr">
        <is>
          <t>Base</t>
        </is>
      </c>
      <c r="E9" s="82" t="n">
        <v>0.094</v>
      </c>
      <c r="F9" s="82" t="n">
        <v>0.08</v>
      </c>
      <c r="G9" s="82" t="n">
        <v>0.075</v>
      </c>
      <c r="H9" s="82" t="n">
        <v>0.07000000000000001</v>
      </c>
      <c r="I9" s="82" t="n">
        <v>0.06</v>
      </c>
    </row>
    <row r="10">
      <c r="A10" s="35" t="inlineStr">
        <is>
          <t>Bull</t>
        </is>
      </c>
      <c r="E10" s="82" t="n">
        <v>0.1</v>
      </c>
      <c r="F10" s="82" t="n">
        <v>0.1</v>
      </c>
      <c r="G10" s="82" t="n">
        <v>0.095</v>
      </c>
      <c r="H10" s="82" t="n">
        <v>0.09</v>
      </c>
      <c r="I10" s="82" t="n">
        <v>0.08</v>
      </c>
    </row>
    <row r="12">
      <c r="A12" s="32" t="inlineStr">
        <is>
          <t>Gross margin</t>
        </is>
      </c>
      <c r="B12" s="33" t="n"/>
      <c r="C12" s="33" t="n"/>
      <c r="D12" s="33" t="n"/>
      <c r="E12" s="33" t="n"/>
      <c r="F12" s="33" t="n"/>
      <c r="G12" s="33" t="n"/>
      <c r="H12" s="33" t="n"/>
      <c r="I12" s="33" t="n"/>
    </row>
    <row r="13">
      <c r="A13" s="3" t="inlineStr">
        <is>
          <t>Live (selected scenario)</t>
        </is>
      </c>
      <c r="C13" s="91">
        <f>'Income Statement'!C11</f>
        <v/>
      </c>
      <c r="D13" s="91">
        <f>'Income Statement'!D11</f>
        <v/>
      </c>
      <c r="E13" s="95">
        <f>CHOOSE(Scenarios!$C$5,E14,E15,E16)</f>
        <v/>
      </c>
      <c r="F13" s="95">
        <f>CHOOSE(Scenarios!$C$5,F14,F15,F16)</f>
        <v/>
      </c>
      <c r="G13" s="95">
        <f>CHOOSE(Scenarios!$C$5,G14,G15,G16)</f>
        <v/>
      </c>
      <c r="H13" s="95">
        <f>CHOOSE(Scenarios!$C$5,H14,H15,H16)</f>
        <v/>
      </c>
      <c r="I13" s="95">
        <f>CHOOSE(Scenarios!$C$5,I14,I15,I16)</f>
        <v/>
      </c>
    </row>
    <row r="14">
      <c r="A14" s="35" t="inlineStr">
        <is>
          <t>Bear</t>
        </is>
      </c>
      <c r="E14" s="82" t="n">
        <v>0.695</v>
      </c>
      <c r="F14" s="82" t="n">
        <v>0.695</v>
      </c>
      <c r="G14" s="82" t="n">
        <v>0.695</v>
      </c>
      <c r="H14" s="82" t="n">
        <v>0.695</v>
      </c>
      <c r="I14" s="82" t="n">
        <v>0.695</v>
      </c>
    </row>
    <row r="15">
      <c r="A15" s="35" t="inlineStr">
        <is>
          <t>Base</t>
        </is>
      </c>
      <c r="E15" s="82" t="n">
        <v>0.7</v>
      </c>
      <c r="F15" s="82" t="n">
        <v>0.705</v>
      </c>
      <c r="G15" s="82" t="n">
        <v>0.71</v>
      </c>
      <c r="H15" s="82" t="n">
        <v>0.715</v>
      </c>
      <c r="I15" s="82" t="n">
        <v>0.72</v>
      </c>
    </row>
    <row r="16">
      <c r="A16" s="35" t="inlineStr">
        <is>
          <t>Bull</t>
        </is>
      </c>
      <c r="E16" s="82" t="n">
        <v>0.705</v>
      </c>
      <c r="F16" s="82" t="n">
        <v>0.715</v>
      </c>
      <c r="G16" s="82" t="n">
        <v>0.725</v>
      </c>
      <c r="H16" s="82" t="n">
        <v>0.73</v>
      </c>
      <c r="I16" s="82" t="n">
        <v>0.735</v>
      </c>
    </row>
    <row r="18">
      <c r="A18" s="32" t="inlineStr">
        <is>
          <t>R&amp;D % of revenue</t>
        </is>
      </c>
      <c r="B18" s="33" t="n"/>
      <c r="C18" s="33" t="n"/>
      <c r="D18" s="33" t="n"/>
      <c r="E18" s="33" t="n"/>
      <c r="F18" s="33" t="n"/>
      <c r="G18" s="33" t="n"/>
      <c r="H18" s="33" t="n"/>
      <c r="I18" s="33" t="n"/>
    </row>
    <row r="19">
      <c r="A19" s="3" t="inlineStr">
        <is>
          <t>Live (selected scenario)</t>
        </is>
      </c>
      <c r="C19" s="91">
        <f>'Income Statement'!C12/'Income Statement'!C7</f>
        <v/>
      </c>
      <c r="D19" s="91">
        <f>'Income Statement'!D12/'Income Statement'!D7</f>
        <v/>
      </c>
      <c r="E19" s="95">
        <f>CHOOSE(Scenarios!$C$5,E20,E21,E22)</f>
        <v/>
      </c>
      <c r="F19" s="95">
        <f>CHOOSE(Scenarios!$C$5,F20,F21,F22)</f>
        <v/>
      </c>
      <c r="G19" s="95">
        <f>CHOOSE(Scenarios!$C$5,G20,G21,G22)</f>
        <v/>
      </c>
      <c r="H19" s="95">
        <f>CHOOSE(Scenarios!$C$5,H20,H21,H22)</f>
        <v/>
      </c>
      <c r="I19" s="95">
        <f>CHOOSE(Scenarios!$C$5,I20,I21,I22)</f>
        <v/>
      </c>
    </row>
    <row r="20">
      <c r="A20" s="35" t="inlineStr">
        <is>
          <t>Bear</t>
        </is>
      </c>
      <c r="E20" s="82" t="n">
        <v>0.18</v>
      </c>
      <c r="F20" s="82" t="n">
        <v>0.18</v>
      </c>
      <c r="G20" s="82" t="n">
        <v>0.18</v>
      </c>
      <c r="H20" s="82" t="n">
        <v>0.18</v>
      </c>
      <c r="I20" s="82" t="n">
        <v>0.18</v>
      </c>
    </row>
    <row r="21">
      <c r="A21" s="35" t="inlineStr">
        <is>
          <t>Base</t>
        </is>
      </c>
      <c r="E21" s="82" t="n">
        <v>0.175</v>
      </c>
      <c r="F21" s="82" t="n">
        <v>0.175</v>
      </c>
      <c r="G21" s="82" t="n">
        <v>0.175</v>
      </c>
      <c r="H21" s="82" t="n">
        <v>0.175</v>
      </c>
      <c r="I21" s="82" t="n">
        <v>0.175</v>
      </c>
    </row>
    <row r="22">
      <c r="A22" s="35" t="inlineStr">
        <is>
          <t>Bull</t>
        </is>
      </c>
      <c r="E22" s="82" t="n">
        <v>0.17</v>
      </c>
      <c r="F22" s="82" t="n">
        <v>0.17</v>
      </c>
      <c r="G22" s="82" t="n">
        <v>0.165</v>
      </c>
      <c r="H22" s="82" t="n">
        <v>0.165</v>
      </c>
      <c r="I22" s="82" t="n">
        <v>0.165</v>
      </c>
    </row>
    <row r="24">
      <c r="A24" s="32" t="inlineStr">
        <is>
          <t>SG&amp;A % of revenue</t>
        </is>
      </c>
      <c r="B24" s="33" t="n"/>
      <c r="C24" s="33" t="n"/>
      <c r="D24" s="33" t="n"/>
      <c r="E24" s="33" t="n"/>
      <c r="F24" s="33" t="n"/>
      <c r="G24" s="33" t="n"/>
      <c r="H24" s="33" t="n"/>
      <c r="I24" s="33" t="n"/>
    </row>
    <row r="25">
      <c r="A25" s="3" t="inlineStr">
        <is>
          <t>Live (selected scenario)</t>
        </is>
      </c>
      <c r="C25" s="91">
        <f>'Income Statement'!C13/'Income Statement'!C7</f>
        <v/>
      </c>
      <c r="D25" s="91">
        <f>'Income Statement'!D13/'Income Statement'!D7</f>
        <v/>
      </c>
      <c r="E25" s="95">
        <f>CHOOSE(Scenarios!$C$5,E26,E27,E28)</f>
        <v/>
      </c>
      <c r="F25" s="95">
        <f>CHOOSE(Scenarios!$C$5,F26,F27,F28)</f>
        <v/>
      </c>
      <c r="G25" s="95">
        <f>CHOOSE(Scenarios!$C$5,G26,G27,G28)</f>
        <v/>
      </c>
      <c r="H25" s="95">
        <f>CHOOSE(Scenarios!$C$5,H26,H27,H28)</f>
        <v/>
      </c>
      <c r="I25" s="95">
        <f>CHOOSE(Scenarios!$C$5,I26,I27,I28)</f>
        <v/>
      </c>
    </row>
    <row r="26">
      <c r="A26" s="35" t="inlineStr">
        <is>
          <t>Bear</t>
        </is>
      </c>
      <c r="E26" s="82" t="n">
        <v>0.315</v>
      </c>
      <c r="F26" s="82" t="n">
        <v>0.315</v>
      </c>
      <c r="G26" s="82" t="n">
        <v>0.31</v>
      </c>
      <c r="H26" s="82" t="n">
        <v>0.31</v>
      </c>
      <c r="I26" s="82" t="n">
        <v>0.31</v>
      </c>
    </row>
    <row r="27">
      <c r="A27" s="35" t="inlineStr">
        <is>
          <t>Base</t>
        </is>
      </c>
      <c r="E27" s="82" t="n">
        <v>0.305</v>
      </c>
      <c r="F27" s="82" t="n">
        <v>0.295</v>
      </c>
      <c r="G27" s="82" t="n">
        <v>0.285</v>
      </c>
      <c r="H27" s="82" t="n">
        <v>0.28</v>
      </c>
      <c r="I27" s="82" t="n">
        <v>0.275</v>
      </c>
    </row>
    <row r="28">
      <c r="A28" s="35" t="inlineStr">
        <is>
          <t>Bull</t>
        </is>
      </c>
      <c r="E28" s="82" t="n">
        <v>0.3</v>
      </c>
      <c r="F28" s="82" t="n">
        <v>0.285</v>
      </c>
      <c r="G28" s="82" t="n">
        <v>0.275</v>
      </c>
      <c r="H28" s="82" t="n">
        <v>0.265</v>
      </c>
      <c r="I28" s="82" t="n">
        <v>0.26</v>
      </c>
    </row>
    <row r="30">
      <c r="A30" s="32" t="inlineStr">
        <is>
          <t>Capex % of revenue</t>
        </is>
      </c>
      <c r="B30" s="33" t="n"/>
      <c r="C30" s="33" t="n"/>
      <c r="D30" s="33" t="n"/>
      <c r="E30" s="33" t="n"/>
      <c r="F30" s="33" t="n"/>
      <c r="G30" s="33" t="n"/>
      <c r="H30" s="33" t="n"/>
      <c r="I30" s="33" t="n"/>
    </row>
    <row r="31">
      <c r="A31" s="3" t="inlineStr">
        <is>
          <t>Live (selected scenario)</t>
        </is>
      </c>
      <c r="C31" s="91">
        <f>'Cash Flow'!C36/'Income Statement'!C7</f>
        <v/>
      </c>
      <c r="D31" s="91">
        <f>'Cash Flow'!D36/'Income Statement'!D7</f>
        <v/>
      </c>
      <c r="E31" s="95">
        <f>CHOOSE(Scenarios!$C$5,E32,E33,E34)</f>
        <v/>
      </c>
      <c r="F31" s="95">
        <f>CHOOSE(Scenarios!$C$5,F32,F33,F34)</f>
        <v/>
      </c>
      <c r="G31" s="95">
        <f>CHOOSE(Scenarios!$C$5,G32,G33,G34)</f>
        <v/>
      </c>
      <c r="H31" s="95">
        <f>CHOOSE(Scenarios!$C$5,H32,H33,H34)</f>
        <v/>
      </c>
      <c r="I31" s="95">
        <f>CHOOSE(Scenarios!$C$5,I32,I33,I34)</f>
        <v/>
      </c>
    </row>
    <row r="32">
      <c r="A32" s="35" t="inlineStr">
        <is>
          <t>Bear</t>
        </is>
      </c>
      <c r="E32" s="82" t="n">
        <v>0.008999999999999999</v>
      </c>
      <c r="F32" s="82" t="n">
        <v>0.008999999999999999</v>
      </c>
      <c r="G32" s="82" t="n">
        <v>0.008999999999999999</v>
      </c>
      <c r="H32" s="82" t="n">
        <v>0.008999999999999999</v>
      </c>
      <c r="I32" s="82" t="n">
        <v>0.008999999999999999</v>
      </c>
    </row>
    <row r="33">
      <c r="A33" s="35" t="inlineStr">
        <is>
          <t>Base</t>
        </is>
      </c>
      <c r="E33" s="82" t="n">
        <v>0.008</v>
      </c>
      <c r="F33" s="82" t="n">
        <v>0.008</v>
      </c>
      <c r="G33" s="82" t="n">
        <v>0.008</v>
      </c>
      <c r="H33" s="82" t="n">
        <v>0.008</v>
      </c>
      <c r="I33" s="82" t="n">
        <v>0.008</v>
      </c>
    </row>
    <row r="34">
      <c r="A34" s="35" t="inlineStr">
        <is>
          <t>Bull</t>
        </is>
      </c>
      <c r="E34" s="82" t="n">
        <v>0.008</v>
      </c>
      <c r="F34" s="82" t="n">
        <v>0.008</v>
      </c>
      <c r="G34" s="82" t="n">
        <v>0.008</v>
      </c>
      <c r="H34" s="82" t="n">
        <v>0.008</v>
      </c>
      <c r="I34" s="82" t="n">
        <v>0.008</v>
      </c>
    </row>
    <row r="36">
      <c r="A36" s="32" t="inlineStr">
        <is>
          <t>Shared drivers (all scenarios)</t>
        </is>
      </c>
      <c r="B36" s="33" t="n"/>
      <c r="C36" s="33" t="n"/>
      <c r="D36" s="33" t="n"/>
      <c r="E36" s="33" t="n"/>
      <c r="F36" s="33" t="n"/>
      <c r="G36" s="33" t="n"/>
      <c r="H36" s="33" t="n"/>
      <c r="I36" s="33" t="n"/>
    </row>
    <row r="37">
      <c r="A37" s="13" t="inlineStr">
        <is>
          <t>Other operating expense % of revenue</t>
        </is>
      </c>
      <c r="E37" s="82" t="n">
        <v>0.035</v>
      </c>
      <c r="F37" s="82" t="n">
        <v>0.03</v>
      </c>
      <c r="G37" s="82" t="n">
        <v>0.028</v>
      </c>
      <c r="H37" s="82" t="n">
        <v>0.026</v>
      </c>
      <c r="I37" s="82" t="n">
        <v>0.025</v>
      </c>
    </row>
    <row r="38">
      <c r="A38" s="13" t="inlineStr">
        <is>
          <t>D&amp;A % of revenue</t>
        </is>
      </c>
      <c r="E38" s="82" t="n">
        <v>0.052</v>
      </c>
      <c r="F38" s="82" t="n">
        <v>0.05</v>
      </c>
      <c r="G38" s="82" t="n">
        <v>0.048</v>
      </c>
      <c r="H38" s="82" t="n">
        <v>0.046</v>
      </c>
      <c r="I38" s="82" t="n">
        <v>0.045</v>
      </c>
    </row>
    <row r="39">
      <c r="A39" s="13" t="inlineStr">
        <is>
          <t>Stock comp % of revenue</t>
        </is>
      </c>
      <c r="E39" s="82" t="n">
        <v>0.04</v>
      </c>
      <c r="F39" s="82" t="n">
        <v>0.04</v>
      </c>
      <c r="G39" s="82" t="n">
        <v>0.04</v>
      </c>
      <c r="H39" s="82" t="n">
        <v>0.04</v>
      </c>
      <c r="I39" s="82" t="n">
        <v>0.04</v>
      </c>
    </row>
    <row r="40">
      <c r="A40" s="13" t="inlineStr">
        <is>
          <t>Tax rate</t>
        </is>
      </c>
      <c r="E40" s="82" t="n">
        <v>0.17</v>
      </c>
      <c r="F40" s="82" t="n">
        <v>0.17</v>
      </c>
      <c r="G40" s="82" t="n">
        <v>0.17</v>
      </c>
      <c r="H40" s="82" t="n">
        <v>0.17</v>
      </c>
      <c r="I40" s="82" t="n">
        <v>0.17</v>
      </c>
    </row>
    <row r="41">
      <c r="A41" s="13" t="inlineStr">
        <is>
          <t>DSO (days of revenue)</t>
        </is>
      </c>
      <c r="E41" s="96" t="n">
        <v>85</v>
      </c>
      <c r="F41" s="96" t="n">
        <v>85</v>
      </c>
      <c r="G41" s="96" t="n">
        <v>85</v>
      </c>
      <c r="H41" s="96" t="n">
        <v>85</v>
      </c>
      <c r="I41" s="96" t="n">
        <v>85</v>
      </c>
    </row>
    <row r="42">
      <c r="A42" s="13" t="inlineStr">
        <is>
          <t>DIO (days of COGS)</t>
        </is>
      </c>
      <c r="E42" s="96" t="n">
        <v>60</v>
      </c>
      <c r="F42" s="96" t="n">
        <v>60</v>
      </c>
      <c r="G42" s="96" t="n">
        <v>60</v>
      </c>
      <c r="H42" s="96" t="n">
        <v>60</v>
      </c>
      <c r="I42" s="96" t="n">
        <v>60</v>
      </c>
    </row>
    <row r="43">
      <c r="A43" s="13" t="inlineStr">
        <is>
          <t>DPO (days of COGS)</t>
        </is>
      </c>
      <c r="E43" s="96" t="n">
        <v>55</v>
      </c>
      <c r="F43" s="96" t="n">
        <v>55</v>
      </c>
      <c r="G43" s="96" t="n">
        <v>55</v>
      </c>
      <c r="H43" s="96" t="n">
        <v>55</v>
      </c>
      <c r="I43" s="96" t="n">
        <v>55</v>
      </c>
    </row>
    <row r="44">
      <c r="A44" s="13" t="inlineStr">
        <is>
          <t>Other current assets % of revenue</t>
        </is>
      </c>
      <c r="E44" s="82" t="n">
        <v>0.094</v>
      </c>
      <c r="F44" s="82" t="n">
        <v>0.094</v>
      </c>
      <c r="G44" s="82" t="n">
        <v>0.094</v>
      </c>
      <c r="H44" s="82" t="n">
        <v>0.094</v>
      </c>
      <c r="I44" s="82" t="n">
        <v>0.094</v>
      </c>
    </row>
    <row r="45">
      <c r="A45" s="13" t="inlineStr">
        <is>
          <t>Other current liabilities % of revenue</t>
        </is>
      </c>
      <c r="E45" s="82" t="n">
        <v>0.372</v>
      </c>
      <c r="F45" s="82" t="n">
        <v>0.372</v>
      </c>
      <c r="G45" s="82" t="n">
        <v>0.372</v>
      </c>
      <c r="H45" s="82" t="n">
        <v>0.372</v>
      </c>
      <c r="I45" s="82" t="n">
        <v>0.372</v>
      </c>
    </row>
    <row r="46">
      <c r="A46" s="13" t="inlineStr">
        <is>
          <t>Interest rate on debt (opening balance)</t>
        </is>
      </c>
      <c r="E46" s="82" t="n">
        <v>0.053</v>
      </c>
      <c r="F46" s="82" t="n">
        <v>0.053</v>
      </c>
      <c r="G46" s="82" t="n">
        <v>0.053</v>
      </c>
      <c r="H46" s="82" t="n">
        <v>0.053</v>
      </c>
      <c r="I46" s="82" t="n">
        <v>0.053</v>
      </c>
    </row>
    <row r="47">
      <c r="A47" s="13" t="inlineStr">
        <is>
          <t>Interest rate on cash &amp; investments</t>
        </is>
      </c>
      <c r="E47" s="82" t="n">
        <v>0.035</v>
      </c>
      <c r="F47" s="82" t="n">
        <v>0.035</v>
      </c>
      <c r="G47" s="82" t="n">
        <v>0.035</v>
      </c>
      <c r="H47" s="82" t="n">
        <v>0.035</v>
      </c>
      <c r="I47" s="82" t="n">
        <v>0.035</v>
      </c>
    </row>
    <row r="48">
      <c r="A48" s="13" t="inlineStr">
        <is>
          <t>Net debt issuance / (repayment), $m</t>
        </is>
      </c>
      <c r="E48" s="97" t="n">
        <v>0</v>
      </c>
      <c r="F48" s="97" t="n">
        <v>0</v>
      </c>
      <c r="G48" s="97" t="n">
        <v>0</v>
      </c>
      <c r="H48" s="97" t="n">
        <v>0</v>
      </c>
      <c r="I48" s="97" t="n">
        <v>0</v>
      </c>
    </row>
    <row r="49">
      <c r="A49" s="13" t="inlineStr">
        <is>
          <t>Dividend payout % of net income</t>
        </is>
      </c>
      <c r="E49" s="82" t="n">
        <v>0</v>
      </c>
      <c r="F49" s="82" t="n">
        <v>0</v>
      </c>
      <c r="G49" s="82" t="n">
        <v>0</v>
      </c>
      <c r="H49" s="82" t="n">
        <v>0</v>
      </c>
      <c r="I49" s="82" t="n">
        <v>0</v>
      </c>
    </row>
    <row r="50">
      <c r="A50" s="13" t="inlineStr">
        <is>
          <t>Share repurchases, $m</t>
        </is>
      </c>
      <c r="E50" s="97" t="n">
        <v>400</v>
      </c>
      <c r="F50" s="97" t="n">
        <v>600</v>
      </c>
      <c r="G50" s="97" t="n">
        <v>650</v>
      </c>
      <c r="H50" s="97" t="n">
        <v>700</v>
      </c>
      <c r="I50" s="97" t="n">
        <v>750</v>
      </c>
    </row>
    <row r="51">
      <c r="A51" s="13" t="inlineStr">
        <is>
          <t>Gross share issuance from stock comp, % of shares</t>
        </is>
      </c>
      <c r="E51" s="82" t="n">
        <v>0.01</v>
      </c>
      <c r="F51" s="82" t="n">
        <v>0.01</v>
      </c>
      <c r="G51" s="82" t="n">
        <v>0.01</v>
      </c>
      <c r="H51" s="82" t="n">
        <v>0.01</v>
      </c>
      <c r="I51" s="82" t="n">
        <v>0.01</v>
      </c>
    </row>
  </sheetData>
  <printOptions gridLines="0"/>
  <pageMargins left="0.75" right="0.75" top="1" bottom="1" header="0.5" footer="0.5"/>
  <pageSetup orientation="landscape" fitToHeight="0" fitToWidth="1"/>
  <headerFooter>
    <oddHeader/>
    <oddFooter>&amp;CTrimble Inc. (TRMB) · &amp;A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4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s>
  <sheetData>
    <row r="1">
      <c r="A1" s="8" t="inlineStr">
        <is>
          <t>Income Statement</t>
        </is>
      </c>
    </row>
    <row r="2">
      <c r="A2" s="29" t="inlineStr">
        <is>
          <t>$ millions except per-share data</t>
        </is>
      </c>
    </row>
    <row r="3">
      <c r="C3" s="29" t="inlineStr">
        <is>
          <t>Actual</t>
        </is>
      </c>
      <c r="E3" s="29" t="inlineStr">
        <is>
          <t>Projected →</t>
        </is>
      </c>
    </row>
    <row r="4">
      <c r="A4" s="30" t="inlineStr">
        <is>
          <t>Fiscal year</t>
        </is>
      </c>
      <c r="B4" s="11" t="n"/>
      <c r="C4" s="12" t="inlineStr">
        <is>
          <t>FY2024A</t>
        </is>
      </c>
      <c r="D4" s="12" t="inlineStr">
        <is>
          <t>FY2025A</t>
        </is>
      </c>
      <c r="E4" s="31" t="inlineStr">
        <is>
          <t>FY2026E</t>
        </is>
      </c>
      <c r="F4" s="12" t="inlineStr">
        <is>
          <t>FY2027E</t>
        </is>
      </c>
      <c r="G4" s="12" t="inlineStr">
        <is>
          <t>FY2028E</t>
        </is>
      </c>
      <c r="H4" s="12" t="inlineStr">
        <is>
          <t>FY2029E</t>
        </is>
      </c>
      <c r="I4" s="12" t="inlineStr">
        <is>
          <t>FY2030E</t>
        </is>
      </c>
    </row>
    <row r="6">
      <c r="A6" s="32" t="inlineStr">
        <is>
          <t>Income statement</t>
        </is>
      </c>
      <c r="B6" s="33" t="n"/>
      <c r="C6" s="33" t="n"/>
      <c r="D6" s="33" t="n"/>
      <c r="E6" s="33" t="n"/>
      <c r="F6" s="33" t="n"/>
      <c r="G6" s="33" t="n"/>
      <c r="H6" s="33" t="n"/>
      <c r="I6" s="33" t="n"/>
    </row>
    <row r="7">
      <c r="A7" s="3" t="inlineStr">
        <is>
          <t>Revenue</t>
        </is>
      </c>
      <c r="C7" s="98" t="n">
        <v>3683.3</v>
      </c>
      <c r="D7" s="98" t="n">
        <v>3587.3</v>
      </c>
      <c r="E7" s="99">
        <f>D7*(1+Assumptions!E7)</f>
        <v/>
      </c>
      <c r="F7" s="99">
        <f>E7*(1+Assumptions!F7)</f>
        <v/>
      </c>
      <c r="G7" s="99">
        <f>F7*(1+Assumptions!G7)</f>
        <v/>
      </c>
      <c r="H7" s="99">
        <f>G7*(1+Assumptions!H7)</f>
        <v/>
      </c>
      <c r="I7" s="99">
        <f>H7*(1+Assumptions!I7)</f>
        <v/>
      </c>
    </row>
    <row r="8">
      <c r="A8" s="35" t="inlineStr">
        <is>
          <t>Growth</t>
        </is>
      </c>
      <c r="D8" s="90">
        <f>D7/C7-1</f>
        <v/>
      </c>
      <c r="E8" s="100">
        <f>E7/D7-1</f>
        <v/>
      </c>
      <c r="F8" s="100">
        <f>F7/E7-1</f>
        <v/>
      </c>
      <c r="G8" s="100">
        <f>G7/F7-1</f>
        <v/>
      </c>
      <c r="H8" s="100">
        <f>H7/G7-1</f>
        <v/>
      </c>
      <c r="I8" s="100">
        <f>I7/H7-1</f>
        <v/>
      </c>
    </row>
    <row r="9">
      <c r="A9" s="13" t="inlineStr">
        <is>
          <t>Cost of revenue</t>
        </is>
      </c>
      <c r="C9" s="101" t="n">
        <v>1287</v>
      </c>
      <c r="D9" s="101" t="n">
        <v>1109.4</v>
      </c>
      <c r="E9" s="102">
        <f>E7*(1-Assumptions!E13)</f>
        <v/>
      </c>
      <c r="F9" s="102">
        <f>F7*(1-Assumptions!F13)</f>
        <v/>
      </c>
      <c r="G9" s="102">
        <f>G7*(1-Assumptions!G13)</f>
        <v/>
      </c>
      <c r="H9" s="102">
        <f>H7*(1-Assumptions!H13)</f>
        <v/>
      </c>
      <c r="I9" s="102">
        <f>I7*(1-Assumptions!I13)</f>
        <v/>
      </c>
    </row>
    <row r="10">
      <c r="A10" s="3" t="inlineStr">
        <is>
          <t>Gross profit</t>
        </is>
      </c>
      <c r="C10" s="103">
        <f>C7-C9</f>
        <v/>
      </c>
      <c r="D10" s="103">
        <f>D7-D9</f>
        <v/>
      </c>
      <c r="E10" s="104">
        <f>E7-E9</f>
        <v/>
      </c>
      <c r="F10" s="104">
        <f>F7-F9</f>
        <v/>
      </c>
      <c r="G10" s="104">
        <f>G7-G9</f>
        <v/>
      </c>
      <c r="H10" s="104">
        <f>H7-H9</f>
        <v/>
      </c>
      <c r="I10" s="104">
        <f>I7-I9</f>
        <v/>
      </c>
    </row>
    <row r="11">
      <c r="A11" s="35" t="inlineStr">
        <is>
          <t>Gross margin</t>
        </is>
      </c>
      <c r="C11" s="90">
        <f>C10/C7</f>
        <v/>
      </c>
      <c r="D11" s="90">
        <f>D10/D7</f>
        <v/>
      </c>
      <c r="E11" s="100">
        <f>E10/E7</f>
        <v/>
      </c>
      <c r="F11" s="100">
        <f>F10/F7</f>
        <v/>
      </c>
      <c r="G11" s="100">
        <f>G10/G7</f>
        <v/>
      </c>
      <c r="H11" s="100">
        <f>H10/H7</f>
        <v/>
      </c>
      <c r="I11" s="100">
        <f>I10/I7</f>
        <v/>
      </c>
    </row>
    <row r="12">
      <c r="A12" s="13" t="inlineStr">
        <is>
          <t>Research &amp; development</t>
        </is>
      </c>
      <c r="C12" s="101" t="n">
        <v>662.3</v>
      </c>
      <c r="D12" s="101" t="n">
        <v>630.7</v>
      </c>
      <c r="E12" s="102">
        <f>E7*Assumptions!E19</f>
        <v/>
      </c>
      <c r="F12" s="102">
        <f>F7*Assumptions!F19</f>
        <v/>
      </c>
      <c r="G12" s="102">
        <f>G7*Assumptions!G19</f>
        <v/>
      </c>
      <c r="H12" s="102">
        <f>H7*Assumptions!H19</f>
        <v/>
      </c>
      <c r="I12" s="102">
        <f>I7*Assumptions!I19</f>
        <v/>
      </c>
    </row>
    <row r="13">
      <c r="A13" s="13" t="inlineStr">
        <is>
          <t>Selling, general &amp; administrative</t>
        </is>
      </c>
      <c r="C13" s="101" t="n">
        <v>1151.7</v>
      </c>
      <c r="D13" s="101" t="n">
        <v>1129.1</v>
      </c>
      <c r="E13" s="102">
        <f>E7*Assumptions!E25</f>
        <v/>
      </c>
      <c r="F13" s="102">
        <f>F7*Assumptions!F25</f>
        <v/>
      </c>
      <c r="G13" s="102">
        <f>G7*Assumptions!G25</f>
        <v/>
      </c>
      <c r="H13" s="102">
        <f>H7*Assumptions!H25</f>
        <v/>
      </c>
      <c r="I13" s="102">
        <f>I7*Assumptions!I25</f>
        <v/>
      </c>
    </row>
    <row r="14">
      <c r="A14" s="13" t="inlineStr">
        <is>
          <t>Other operating expense, net</t>
        </is>
      </c>
      <c r="C14" s="101" t="n">
        <v>121.6000000000004</v>
      </c>
      <c r="D14" s="101" t="n">
        <v>126.1000000000001</v>
      </c>
      <c r="E14" s="102">
        <f>E7*Assumptions!E37</f>
        <v/>
      </c>
      <c r="F14" s="102">
        <f>F7*Assumptions!F37</f>
        <v/>
      </c>
      <c r="G14" s="102">
        <f>G7*Assumptions!G37</f>
        <v/>
      </c>
      <c r="H14" s="102">
        <f>H7*Assumptions!H37</f>
        <v/>
      </c>
      <c r="I14" s="102">
        <f>I7*Assumptions!I37</f>
        <v/>
      </c>
    </row>
    <row r="15">
      <c r="A15" s="3" t="inlineStr">
        <is>
          <t>Operating income (EBIT)</t>
        </is>
      </c>
      <c r="C15" s="103">
        <f>C10-C12-C13-C14</f>
        <v/>
      </c>
      <c r="D15" s="103">
        <f>D10-D12-D13-D14</f>
        <v/>
      </c>
      <c r="E15" s="104">
        <f>E10-E12-E13-E14</f>
        <v/>
      </c>
      <c r="F15" s="104">
        <f>F10-F12-F13-F14</f>
        <v/>
      </c>
      <c r="G15" s="104">
        <f>G10-G12-G13-G14</f>
        <v/>
      </c>
      <c r="H15" s="104">
        <f>H10-H12-H13-H14</f>
        <v/>
      </c>
      <c r="I15" s="104">
        <f>I10-I12-I13-I14</f>
        <v/>
      </c>
    </row>
    <row r="16">
      <c r="A16" s="35" t="inlineStr">
        <is>
          <t>Operating margin</t>
        </is>
      </c>
      <c r="C16" s="90">
        <f>C15/C7</f>
        <v/>
      </c>
      <c r="D16" s="90">
        <f>D15/D7</f>
        <v/>
      </c>
      <c r="E16" s="100">
        <f>E15/E7</f>
        <v/>
      </c>
      <c r="F16" s="100">
        <f>F15/F7</f>
        <v/>
      </c>
      <c r="G16" s="100">
        <f>G15/G7</f>
        <v/>
      </c>
      <c r="H16" s="100">
        <f>H15/H7</f>
        <v/>
      </c>
      <c r="I16" s="100">
        <f>I15/I7</f>
        <v/>
      </c>
    </row>
    <row r="17">
      <c r="A17" s="13" t="inlineStr">
        <is>
          <t>Interest expense</t>
        </is>
      </c>
      <c r="C17" s="101" t="n">
        <v>90.7</v>
      </c>
      <c r="D17" s="101" t="n">
        <v>74.40000000000001</v>
      </c>
      <c r="E17" s="102">
        <f>'Balance Sheet'!D20*Assumptions!E46</f>
        <v/>
      </c>
      <c r="F17" s="102">
        <f>'Balance Sheet'!E20*Assumptions!F46</f>
        <v/>
      </c>
      <c r="G17" s="102">
        <f>'Balance Sheet'!F20*Assumptions!G46</f>
        <v/>
      </c>
      <c r="H17" s="102">
        <f>'Balance Sheet'!G20*Assumptions!H46</f>
        <v/>
      </c>
      <c r="I17" s="102">
        <f>'Balance Sheet'!H20*Assumptions!I46</f>
        <v/>
      </c>
    </row>
    <row r="18">
      <c r="A18" s="13" t="inlineStr">
        <is>
          <t>Interest income &amp; other, net</t>
        </is>
      </c>
      <c r="C18" s="101" t="n">
        <v>1635.9</v>
      </c>
      <c r="D18" s="101" t="n">
        <v>-8.200000000000017</v>
      </c>
      <c r="E18" s="102">
        <f>('Balance Sheet'!D7+'Balance Sheet'!D8)*Assumptions!E47</f>
        <v/>
      </c>
      <c r="F18" s="102">
        <f>('Balance Sheet'!E7+'Balance Sheet'!E8)*Assumptions!F47</f>
        <v/>
      </c>
      <c r="G18" s="102">
        <f>('Balance Sheet'!F7+'Balance Sheet'!F8)*Assumptions!G47</f>
        <v/>
      </c>
      <c r="H18" s="102">
        <f>('Balance Sheet'!G7+'Balance Sheet'!G8)*Assumptions!H47</f>
        <v/>
      </c>
      <c r="I18" s="102">
        <f>('Balance Sheet'!H7+'Balance Sheet'!H8)*Assumptions!I47</f>
        <v/>
      </c>
    </row>
    <row r="19">
      <c r="A19" s="13" t="inlineStr">
        <is>
          <t>Pre-tax income</t>
        </is>
      </c>
      <c r="C19" s="105">
        <f>C15-C17+C18</f>
        <v/>
      </c>
      <c r="D19" s="105">
        <f>D15-D17+D18</f>
        <v/>
      </c>
      <c r="E19" s="106">
        <f>E15-E17+E18</f>
        <v/>
      </c>
      <c r="F19" s="106">
        <f>F15-F17+F18</f>
        <v/>
      </c>
      <c r="G19" s="106">
        <f>G15-G17+G18</f>
        <v/>
      </c>
      <c r="H19" s="106">
        <f>H15-H17+H18</f>
        <v/>
      </c>
      <c r="I19" s="106">
        <f>I15-I17+I18</f>
        <v/>
      </c>
    </row>
    <row r="20">
      <c r="A20" s="13" t="inlineStr">
        <is>
          <t>Income tax</t>
        </is>
      </c>
      <c r="C20" s="101" t="n">
        <v>501.5</v>
      </c>
      <c r="D20" s="101" t="n">
        <v>85.40000000000001</v>
      </c>
      <c r="E20" s="102">
        <f>MAX(0,E19*Assumptions!E40)</f>
        <v/>
      </c>
      <c r="F20" s="102">
        <f>MAX(0,F19*Assumptions!F40)</f>
        <v/>
      </c>
      <c r="G20" s="102">
        <f>MAX(0,G19*Assumptions!G40)</f>
        <v/>
      </c>
      <c r="H20" s="102">
        <f>MAX(0,H19*Assumptions!H40)</f>
        <v/>
      </c>
      <c r="I20" s="102">
        <f>MAX(0,I19*Assumptions!I40)</f>
        <v/>
      </c>
    </row>
    <row r="21">
      <c r="A21" s="35" t="inlineStr">
        <is>
          <t>Effective tax rate</t>
        </is>
      </c>
      <c r="C21" s="90">
        <f>IF(C19=0,0,C20/C19)</f>
        <v/>
      </c>
      <c r="D21" s="90">
        <f>IF(D19=0,0,D20/D19)</f>
        <v/>
      </c>
      <c r="E21" s="100">
        <f>IF(E19=0,0,E20/E19)</f>
        <v/>
      </c>
      <c r="F21" s="100">
        <f>IF(F19=0,0,F20/F19)</f>
        <v/>
      </c>
      <c r="G21" s="100">
        <f>IF(G19=0,0,G20/G19)</f>
        <v/>
      </c>
      <c r="H21" s="100">
        <f>IF(H19=0,0,H20/H19)</f>
        <v/>
      </c>
      <c r="I21" s="100">
        <f>IF(I19=0,0,I20/I19)</f>
        <v/>
      </c>
    </row>
    <row r="22">
      <c r="A22" s="13" t="inlineStr">
        <is>
          <t>Minority interest, discontinued ops &amp; other</t>
        </is>
      </c>
      <c r="C22" s="101" t="n">
        <v>0</v>
      </c>
      <c r="D22" s="101" t="n">
        <v>0</v>
      </c>
      <c r="E22" s="107" t="n">
        <v>0</v>
      </c>
      <c r="F22" s="107" t="n">
        <v>0</v>
      </c>
      <c r="G22" s="107" t="n">
        <v>0</v>
      </c>
      <c r="H22" s="107" t="n">
        <v>0</v>
      </c>
      <c r="I22" s="107" t="n">
        <v>0</v>
      </c>
    </row>
    <row r="23">
      <c r="A23" s="3" t="inlineStr">
        <is>
          <t>Net income</t>
        </is>
      </c>
      <c r="C23" s="108">
        <f>C19-C20+C22</f>
        <v/>
      </c>
      <c r="D23" s="108">
        <f>D19-D20+D22</f>
        <v/>
      </c>
      <c r="E23" s="109">
        <f>E19-E20+E22</f>
        <v/>
      </c>
      <c r="F23" s="109">
        <f>F19-F20+F22</f>
        <v/>
      </c>
      <c r="G23" s="109">
        <f>G19-G20+G22</f>
        <v/>
      </c>
      <c r="H23" s="109">
        <f>H19-H20+H22</f>
        <v/>
      </c>
      <c r="I23" s="109">
        <f>I19-I20+I22</f>
        <v/>
      </c>
    </row>
    <row r="24">
      <c r="A24" s="35" t="inlineStr">
        <is>
          <t>Net margin</t>
        </is>
      </c>
      <c r="C24" s="90">
        <f>C23/C7</f>
        <v/>
      </c>
      <c r="D24" s="90">
        <f>D23/D7</f>
        <v/>
      </c>
      <c r="E24" s="100">
        <f>E23/E7</f>
        <v/>
      </c>
      <c r="F24" s="100">
        <f>F23/F7</f>
        <v/>
      </c>
      <c r="G24" s="100">
        <f>G23/G7</f>
        <v/>
      </c>
      <c r="H24" s="100">
        <f>H23/H7</f>
        <v/>
      </c>
      <c r="I24" s="100">
        <f>I23/I7</f>
        <v/>
      </c>
    </row>
    <row r="26">
      <c r="A26" s="32" t="inlineStr">
        <is>
          <t>Share count (millions)</t>
        </is>
      </c>
      <c r="B26" s="33" t="n"/>
      <c r="C26" s="33" t="n"/>
      <c r="D26" s="33" t="n"/>
      <c r="E26" s="33" t="n"/>
      <c r="F26" s="33" t="n"/>
      <c r="G26" s="33" t="n"/>
      <c r="H26" s="33" t="n"/>
      <c r="I26" s="33" t="n"/>
    </row>
    <row r="27">
      <c r="A27" s="13" t="inlineStr">
        <is>
          <t>Opening diluted shares</t>
        </is>
      </c>
      <c r="E27" s="110">
        <f>DCF!$C$7</f>
        <v/>
      </c>
      <c r="F27" s="111">
        <f>E31</f>
        <v/>
      </c>
      <c r="G27" s="111">
        <f>F31</f>
        <v/>
      </c>
      <c r="H27" s="111">
        <f>G31</f>
        <v/>
      </c>
      <c r="I27" s="111">
        <f>H31</f>
        <v/>
      </c>
    </row>
    <row r="28">
      <c r="A28" s="35" t="inlineStr">
        <is>
          <t>Plus: issued for stock comp</t>
        </is>
      </c>
      <c r="E28" s="110">
        <f>E27*Assumptions!E51</f>
        <v/>
      </c>
      <c r="F28" s="110">
        <f>F27*Assumptions!F51</f>
        <v/>
      </c>
      <c r="G28" s="110">
        <f>G27*Assumptions!G51</f>
        <v/>
      </c>
      <c r="H28" s="110">
        <f>H27*Assumptions!H51</f>
        <v/>
      </c>
      <c r="I28" s="110">
        <f>I27*Assumptions!I51</f>
        <v/>
      </c>
    </row>
    <row r="29">
      <c r="A29" s="35" t="inlineStr">
        <is>
          <t>Assumed repurchase price ($)</t>
        </is>
      </c>
      <c r="E29" s="112">
        <f>DCF!$C$5*(1+DCF!$C$19)^(1-0.5)</f>
        <v/>
      </c>
      <c r="F29" s="112">
        <f>DCF!$C$5*(1+DCF!$C$19)^(2-0.5)</f>
        <v/>
      </c>
      <c r="G29" s="112">
        <f>DCF!$C$5*(1+DCF!$C$19)^(3-0.5)</f>
        <v/>
      </c>
      <c r="H29" s="112">
        <f>DCF!$C$5*(1+DCF!$C$19)^(4-0.5)</f>
        <v/>
      </c>
      <c r="I29" s="112">
        <f>DCF!$C$5*(1+DCF!$C$19)^(5-0.5)</f>
        <v/>
      </c>
    </row>
    <row r="30">
      <c r="A30" s="35" t="inlineStr">
        <is>
          <t>Less: shares repurchased</t>
        </is>
      </c>
      <c r="E30" s="110">
        <f>IF(E29=0,0,'Cash Flow'!E38/E29)</f>
        <v/>
      </c>
      <c r="F30" s="110">
        <f>IF(F29=0,0,'Cash Flow'!F38/F29)</f>
        <v/>
      </c>
      <c r="G30" s="110">
        <f>IF(G29=0,0,'Cash Flow'!G38/G29)</f>
        <v/>
      </c>
      <c r="H30" s="110">
        <f>IF(H29=0,0,'Cash Flow'!H38/H29)</f>
        <v/>
      </c>
      <c r="I30" s="110">
        <f>IF(I29=0,0,'Cash Flow'!I38/I29)</f>
        <v/>
      </c>
    </row>
    <row r="31">
      <c r="A31" s="13" t="inlineStr">
        <is>
          <t>Closing diluted shares</t>
        </is>
      </c>
      <c r="E31" s="113">
        <f>E27+E28-E30</f>
        <v/>
      </c>
      <c r="F31" s="113">
        <f>F27+F28-F30</f>
        <v/>
      </c>
      <c r="G31" s="113">
        <f>G27+G28-G30</f>
        <v/>
      </c>
      <c r="H31" s="113">
        <f>H27+H28-H30</f>
        <v/>
      </c>
      <c r="I31" s="113">
        <f>I27+I28-I30</f>
        <v/>
      </c>
    </row>
    <row r="32">
      <c r="A32" s="3" t="inlineStr">
        <is>
          <t>Average diluted shares (for EPS)</t>
        </is>
      </c>
      <c r="C32" s="114" t="n">
        <v>247.0279146141215</v>
      </c>
      <c r="D32" s="114" t="n">
        <v>240.9090909090909</v>
      </c>
      <c r="E32" s="115">
        <f>AVERAGE(E27,E31)</f>
        <v/>
      </c>
      <c r="F32" s="115">
        <f>AVERAGE(F27,F31)</f>
        <v/>
      </c>
      <c r="G32" s="115">
        <f>AVERAGE(G27,G31)</f>
        <v/>
      </c>
      <c r="H32" s="115">
        <f>AVERAGE(H27,H31)</f>
        <v/>
      </c>
      <c r="I32" s="115">
        <f>AVERAGE(I27,I31)</f>
        <v/>
      </c>
    </row>
    <row r="33">
      <c r="A33" s="3" t="inlineStr">
        <is>
          <t>Diluted EPS ($)</t>
        </is>
      </c>
      <c r="C33" s="93">
        <f>IF(C32=0,0,C23/C32)</f>
        <v/>
      </c>
      <c r="D33" s="93">
        <f>IF(D32=0,0,D23/D32)</f>
        <v/>
      </c>
      <c r="E33" s="116">
        <f>IF(E32=0,0,E23/E32)</f>
        <v/>
      </c>
      <c r="F33" s="116">
        <f>IF(F32=0,0,F23/F32)</f>
        <v/>
      </c>
      <c r="G33" s="116">
        <f>IF(G32=0,0,G23/G32)</f>
        <v/>
      </c>
      <c r="H33" s="116">
        <f>IF(H32=0,0,H23/H32)</f>
        <v/>
      </c>
      <c r="I33" s="116">
        <f>IF(I32=0,0,I23/I32)</f>
        <v/>
      </c>
    </row>
    <row r="34">
      <c r="A34" s="35" t="inlineStr">
        <is>
          <t>EPS growth</t>
        </is>
      </c>
      <c r="D34" s="90">
        <f>IF(C33&lt;=0,0,D33/C33-1)</f>
        <v/>
      </c>
      <c r="E34" s="100">
        <f>IF(D33&lt;=0,0,E33/D33-1)</f>
        <v/>
      </c>
      <c r="F34" s="100">
        <f>IF(E33&lt;=0,0,F33/E33-1)</f>
        <v/>
      </c>
      <c r="G34" s="100">
        <f>IF(F33&lt;=0,0,G33/F33-1)</f>
        <v/>
      </c>
      <c r="H34" s="100">
        <f>IF(G33&lt;=0,0,H33/G33-1)</f>
        <v/>
      </c>
      <c r="I34" s="100">
        <f>IF(H33&lt;=0,0,I33/H33-1)</f>
        <v/>
      </c>
    </row>
    <row r="36">
      <c r="A36" s="32" t="inlineStr">
        <is>
          <t>Memo</t>
        </is>
      </c>
      <c r="B36" s="33" t="n"/>
      <c r="C36" s="33" t="n"/>
      <c r="D36" s="33" t="n"/>
      <c r="E36" s="33" t="n"/>
      <c r="F36" s="33" t="n"/>
      <c r="G36" s="33" t="n"/>
      <c r="H36" s="33" t="n"/>
      <c r="I36" s="33" t="n"/>
    </row>
    <row r="37">
      <c r="A37" s="13" t="inlineStr">
        <is>
          <t>Depreciation &amp; amortization</t>
        </is>
      </c>
      <c r="C37" s="101" t="n">
        <v>232</v>
      </c>
      <c r="D37" s="101" t="n">
        <v>199.9</v>
      </c>
      <c r="E37" s="102">
        <f>E7*Assumptions!E38</f>
        <v/>
      </c>
      <c r="F37" s="102">
        <f>F7*Assumptions!F38</f>
        <v/>
      </c>
      <c r="G37" s="102">
        <f>G7*Assumptions!G38</f>
        <v/>
      </c>
      <c r="H37" s="102">
        <f>H7*Assumptions!H38</f>
        <v/>
      </c>
      <c r="I37" s="102">
        <f>I7*Assumptions!I38</f>
        <v/>
      </c>
    </row>
    <row r="38">
      <c r="A38" s="3" t="inlineStr">
        <is>
          <t>EBITDA</t>
        </is>
      </c>
      <c r="C38" s="88">
        <f>C15+C37</f>
        <v/>
      </c>
      <c r="D38" s="88">
        <f>D15+D37</f>
        <v/>
      </c>
      <c r="E38" s="117">
        <f>E15+E37</f>
        <v/>
      </c>
      <c r="F38" s="117">
        <f>F15+F37</f>
        <v/>
      </c>
      <c r="G38" s="117">
        <f>G15+G37</f>
        <v/>
      </c>
      <c r="H38" s="117">
        <f>H15+H37</f>
        <v/>
      </c>
      <c r="I38" s="117">
        <f>I15+I37</f>
        <v/>
      </c>
    </row>
    <row r="39">
      <c r="A39" s="35" t="inlineStr">
        <is>
          <t>EBITDA margin</t>
        </is>
      </c>
      <c r="C39" s="90">
        <f>C38/C7</f>
        <v/>
      </c>
      <c r="D39" s="90">
        <f>D38/D7</f>
        <v/>
      </c>
      <c r="E39" s="100">
        <f>E38/E7</f>
        <v/>
      </c>
      <c r="F39" s="100">
        <f>F38/F7</f>
        <v/>
      </c>
      <c r="G39" s="100">
        <f>G38/G7</f>
        <v/>
      </c>
      <c r="H39" s="100">
        <f>H38/H7</f>
        <v/>
      </c>
      <c r="I39" s="100">
        <f>I38/I7</f>
        <v/>
      </c>
    </row>
    <row r="40">
      <c r="A40" s="13" t="inlineStr">
        <is>
          <t>Stock-based compensation</t>
        </is>
      </c>
      <c r="C40" s="101" t="n">
        <v>158.6</v>
      </c>
      <c r="D40" s="101" t="n">
        <v>146.5</v>
      </c>
      <c r="E40" s="102">
        <f>E7*Assumptions!E39</f>
        <v/>
      </c>
      <c r="F40" s="102">
        <f>F7*Assumptions!F39</f>
        <v/>
      </c>
      <c r="G40" s="102">
        <f>G7*Assumptions!G39</f>
        <v/>
      </c>
      <c r="H40" s="102">
        <f>H7*Assumptions!H39</f>
        <v/>
      </c>
      <c r="I40" s="102">
        <f>I7*Assumptions!I39</f>
        <v/>
      </c>
    </row>
  </sheetData>
  <printOptions gridLines="0"/>
  <pageMargins left="0.75" right="0.75" top="1" bottom="1" header="0.5" footer="0.5"/>
  <pageSetup orientation="landscape" fitToHeight="0" fitToWidth="1"/>
  <headerFooter>
    <oddHeader/>
    <oddFooter>&amp;CTrimble Inc. (TRMB) · &amp;A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4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s>
  <sheetData>
    <row r="1">
      <c r="A1" s="8" t="inlineStr">
        <is>
          <t>Balance Sheet</t>
        </is>
      </c>
    </row>
    <row r="2">
      <c r="A2" s="29" t="inlineStr">
        <is>
          <t>$ millions except per-share data</t>
        </is>
      </c>
    </row>
    <row r="3">
      <c r="C3" s="29" t="inlineStr">
        <is>
          <t>Actual</t>
        </is>
      </c>
      <c r="E3" s="29" t="inlineStr">
        <is>
          <t>Projected →</t>
        </is>
      </c>
    </row>
    <row r="4">
      <c r="A4" s="30" t="inlineStr">
        <is>
          <t>Fiscal year</t>
        </is>
      </c>
      <c r="B4" s="11" t="n"/>
      <c r="C4" s="12" t="inlineStr">
        <is>
          <t>FY2024A</t>
        </is>
      </c>
      <c r="D4" s="12" t="inlineStr">
        <is>
          <t>FY2025A</t>
        </is>
      </c>
      <c r="E4" s="31" t="inlineStr">
        <is>
          <t>FY2026E</t>
        </is>
      </c>
      <c r="F4" s="12" t="inlineStr">
        <is>
          <t>FY2027E</t>
        </is>
      </c>
      <c r="G4" s="12" t="inlineStr">
        <is>
          <t>FY2028E</t>
        </is>
      </c>
      <c r="H4" s="12" t="inlineStr">
        <is>
          <t>FY2029E</t>
        </is>
      </c>
      <c r="I4" s="12" t="inlineStr">
        <is>
          <t>FY2030E</t>
        </is>
      </c>
    </row>
    <row r="6">
      <c r="A6" s="32" t="inlineStr">
        <is>
          <t>Assets</t>
        </is>
      </c>
      <c r="B6" s="33" t="n"/>
      <c r="C6" s="33" t="n"/>
      <c r="D6" s="33" t="n"/>
      <c r="E6" s="33" t="n"/>
      <c r="F6" s="33" t="n"/>
      <c r="G6" s="33" t="n"/>
      <c r="H6" s="33" t="n"/>
      <c r="I6" s="33" t="n"/>
    </row>
    <row r="7">
      <c r="A7" s="13" t="inlineStr">
        <is>
          <t>Cash &amp; equivalents</t>
        </is>
      </c>
      <c r="C7" s="101" t="n">
        <v>747.8</v>
      </c>
      <c r="D7" s="101" t="n">
        <v>253.4</v>
      </c>
      <c r="E7" s="102">
        <f>'Cash Flow'!E32</f>
        <v/>
      </c>
      <c r="F7" s="102">
        <f>'Cash Flow'!F32</f>
        <v/>
      </c>
      <c r="G7" s="102">
        <f>'Cash Flow'!G32</f>
        <v/>
      </c>
      <c r="H7" s="102">
        <f>'Cash Flow'!H32</f>
        <v/>
      </c>
      <c r="I7" s="102">
        <f>'Cash Flow'!I32</f>
        <v/>
      </c>
    </row>
    <row r="8">
      <c r="A8" s="13" t="inlineStr">
        <is>
          <t>Short-term investments</t>
        </is>
      </c>
      <c r="C8" s="101" t="n">
        <v>0</v>
      </c>
      <c r="D8" s="101" t="n">
        <v>0</v>
      </c>
      <c r="E8" s="118">
        <f>D8</f>
        <v/>
      </c>
      <c r="F8" s="118">
        <f>E8</f>
        <v/>
      </c>
      <c r="G8" s="118">
        <f>F8</f>
        <v/>
      </c>
      <c r="H8" s="118">
        <f>G8</f>
        <v/>
      </c>
      <c r="I8" s="118">
        <f>H8</f>
        <v/>
      </c>
    </row>
    <row r="9">
      <c r="A9" s="13" t="inlineStr">
        <is>
          <t>Accounts receivable</t>
        </is>
      </c>
      <c r="C9" s="101" t="n">
        <v>725.8</v>
      </c>
      <c r="D9" s="101" t="n">
        <v>856</v>
      </c>
      <c r="E9" s="102">
        <f>'Income Statement'!E7*Assumptions!E41/365</f>
        <v/>
      </c>
      <c r="F9" s="102">
        <f>'Income Statement'!F7*Assumptions!F41/365</f>
        <v/>
      </c>
      <c r="G9" s="102">
        <f>'Income Statement'!G7*Assumptions!G41/365</f>
        <v/>
      </c>
      <c r="H9" s="102">
        <f>'Income Statement'!H7*Assumptions!H41/365</f>
        <v/>
      </c>
      <c r="I9" s="102">
        <f>'Income Statement'!I7*Assumptions!I41/365</f>
        <v/>
      </c>
    </row>
    <row r="10">
      <c r="A10" s="13" t="inlineStr">
        <is>
          <t>Inventory</t>
        </is>
      </c>
      <c r="C10" s="101" t="n">
        <v>194.3</v>
      </c>
      <c r="D10" s="101" t="n">
        <v>186.3</v>
      </c>
      <c r="E10" s="102">
        <f>'Income Statement'!E9*Assumptions!E42/365</f>
        <v/>
      </c>
      <c r="F10" s="102">
        <f>'Income Statement'!F9*Assumptions!F42/365</f>
        <v/>
      </c>
      <c r="G10" s="102">
        <f>'Income Statement'!G9*Assumptions!G42/365</f>
        <v/>
      </c>
      <c r="H10" s="102">
        <f>'Income Statement'!H9*Assumptions!H42/365</f>
        <v/>
      </c>
      <c r="I10" s="102">
        <f>'Income Statement'!I9*Assumptions!I42/365</f>
        <v/>
      </c>
    </row>
    <row r="11">
      <c r="A11" s="13" t="inlineStr">
        <is>
          <t>Other current assets</t>
        </is>
      </c>
      <c r="C11" s="101" t="n">
        <v>602.5000000000002</v>
      </c>
      <c r="D11" s="101" t="n">
        <v>336.2</v>
      </c>
      <c r="E11" s="102">
        <f>'Income Statement'!E7*Assumptions!E44</f>
        <v/>
      </c>
      <c r="F11" s="102">
        <f>'Income Statement'!F7*Assumptions!F44</f>
        <v/>
      </c>
      <c r="G11" s="102">
        <f>'Income Statement'!G7*Assumptions!G44</f>
        <v/>
      </c>
      <c r="H11" s="102">
        <f>'Income Statement'!H7*Assumptions!H44</f>
        <v/>
      </c>
      <c r="I11" s="102">
        <f>'Income Statement'!I7*Assumptions!I44</f>
        <v/>
      </c>
    </row>
    <row r="12">
      <c r="A12" s="3" t="inlineStr">
        <is>
          <t>Total current assets</t>
        </is>
      </c>
      <c r="C12" s="103">
        <f>SUM(C7:C11)</f>
        <v/>
      </c>
      <c r="D12" s="103">
        <f>SUM(D7:D11)</f>
        <v/>
      </c>
      <c r="E12" s="104">
        <f>SUM(E7:E11)</f>
        <v/>
      </c>
      <c r="F12" s="104">
        <f>SUM(F7:F11)</f>
        <v/>
      </c>
      <c r="G12" s="104">
        <f>SUM(G7:G11)</f>
        <v/>
      </c>
      <c r="H12" s="104">
        <f>SUM(H7:H11)</f>
        <v/>
      </c>
      <c r="I12" s="104">
        <f>SUM(I7:I11)</f>
        <v/>
      </c>
    </row>
    <row r="13">
      <c r="A13" s="13" t="inlineStr">
        <is>
          <t>Property, plant &amp; equipment, net</t>
        </is>
      </c>
      <c r="C13" s="101" t="n">
        <v>188.4</v>
      </c>
      <c r="D13" s="101" t="n">
        <v>185.5</v>
      </c>
      <c r="E13" s="102">
        <f>D13+'Cash Flow'!E36-'Income Statement'!E37</f>
        <v/>
      </c>
      <c r="F13" s="102">
        <f>E13+'Cash Flow'!F36-'Income Statement'!F37</f>
        <v/>
      </c>
      <c r="G13" s="102">
        <f>F13+'Cash Flow'!G36-'Income Statement'!G37</f>
        <v/>
      </c>
      <c r="H13" s="102">
        <f>G13+'Cash Flow'!H36-'Income Statement'!H37</f>
        <v/>
      </c>
      <c r="I13" s="102">
        <f>H13+'Cash Flow'!I36-'Income Statement'!I37</f>
        <v/>
      </c>
    </row>
    <row r="14">
      <c r="A14" s="13" t="inlineStr">
        <is>
          <t>Goodwill, intangibles &amp; other non-current</t>
        </is>
      </c>
      <c r="C14" s="101" t="n">
        <v>7029.5</v>
      </c>
      <c r="D14" s="101" t="n">
        <v>7494.6</v>
      </c>
      <c r="E14" s="118">
        <f>D14</f>
        <v/>
      </c>
      <c r="F14" s="118">
        <f>E14</f>
        <v/>
      </c>
      <c r="G14" s="118">
        <f>F14</f>
        <v/>
      </c>
      <c r="H14" s="118">
        <f>G14</f>
        <v/>
      </c>
      <c r="I14" s="118">
        <f>H14</f>
        <v/>
      </c>
    </row>
    <row r="15">
      <c r="A15" s="3" t="inlineStr">
        <is>
          <t>Total assets</t>
        </is>
      </c>
      <c r="C15" s="108">
        <f>C12+C13+C14</f>
        <v/>
      </c>
      <c r="D15" s="108">
        <f>D12+D13+D14</f>
        <v/>
      </c>
      <c r="E15" s="109">
        <f>E12+E13+E14</f>
        <v/>
      </c>
      <c r="F15" s="109">
        <f>F12+F13+F14</f>
        <v/>
      </c>
      <c r="G15" s="109">
        <f>G12+G13+G14</f>
        <v/>
      </c>
      <c r="H15" s="109">
        <f>H12+H13+H14</f>
        <v/>
      </c>
      <c r="I15" s="109">
        <f>I12+I13+I14</f>
        <v/>
      </c>
    </row>
    <row r="17">
      <c r="A17" s="32" t="inlineStr">
        <is>
          <t>Liabilities &amp; equity</t>
        </is>
      </c>
      <c r="B17" s="33" t="n"/>
      <c r="C17" s="33" t="n"/>
      <c r="D17" s="33" t="n"/>
      <c r="E17" s="33" t="n"/>
      <c r="F17" s="33" t="n"/>
      <c r="G17" s="33" t="n"/>
      <c r="H17" s="33" t="n"/>
      <c r="I17" s="33" t="n"/>
    </row>
    <row r="18">
      <c r="A18" s="13" t="inlineStr">
        <is>
          <t>Accounts payable</t>
        </is>
      </c>
      <c r="C18" s="101" t="n">
        <v>161.6</v>
      </c>
      <c r="D18" s="101" t="n">
        <v>168.3</v>
      </c>
      <c r="E18" s="102">
        <f>'Income Statement'!E9*Assumptions!E43/365</f>
        <v/>
      </c>
      <c r="F18" s="102">
        <f>'Income Statement'!F9*Assumptions!F43/365</f>
        <v/>
      </c>
      <c r="G18" s="102">
        <f>'Income Statement'!G9*Assumptions!G43/365</f>
        <v/>
      </c>
      <c r="H18" s="102">
        <f>'Income Statement'!H9*Assumptions!H43/365</f>
        <v/>
      </c>
      <c r="I18" s="102">
        <f>'Income Statement'!I9*Assumptions!I43/365</f>
        <v/>
      </c>
    </row>
    <row r="19">
      <c r="A19" s="13" t="inlineStr">
        <is>
          <t>Other current liabilities</t>
        </is>
      </c>
      <c r="C19" s="101" t="n">
        <v>1626.4</v>
      </c>
      <c r="D19" s="101" t="n">
        <v>1335.1</v>
      </c>
      <c r="E19" s="102">
        <f>'Income Statement'!E7*Assumptions!E45</f>
        <v/>
      </c>
      <c r="F19" s="102">
        <f>'Income Statement'!F7*Assumptions!F45</f>
        <v/>
      </c>
      <c r="G19" s="102">
        <f>'Income Statement'!G7*Assumptions!G45</f>
        <v/>
      </c>
      <c r="H19" s="102">
        <f>'Income Statement'!H7*Assumptions!H45</f>
        <v/>
      </c>
      <c r="I19" s="102">
        <f>'Income Statement'!I7*Assumptions!I45</f>
        <v/>
      </c>
    </row>
    <row r="20">
      <c r="A20" s="13" t="inlineStr">
        <is>
          <t>Total debt (see debt schedule)</t>
        </is>
      </c>
      <c r="C20" s="101" t="n">
        <v>1390.6</v>
      </c>
      <c r="D20" s="101" t="n">
        <v>1392.2</v>
      </c>
      <c r="E20" s="118">
        <f>E34</f>
        <v/>
      </c>
      <c r="F20" s="118">
        <f>F34</f>
        <v/>
      </c>
      <c r="G20" s="118">
        <f>G34</f>
        <v/>
      </c>
      <c r="H20" s="118">
        <f>H34</f>
        <v/>
      </c>
      <c r="I20" s="118">
        <f>I34</f>
        <v/>
      </c>
    </row>
    <row r="21">
      <c r="A21" s="13" t="inlineStr">
        <is>
          <t>Other non-current liabilities</t>
        </is>
      </c>
      <c r="C21" s="101" t="n">
        <v>564.4000000000001</v>
      </c>
      <c r="D21" s="101" t="n">
        <v>580.1999999999998</v>
      </c>
      <c r="E21" s="118">
        <f>D21</f>
        <v/>
      </c>
      <c r="F21" s="118">
        <f>E21</f>
        <v/>
      </c>
      <c r="G21" s="118">
        <f>F21</f>
        <v/>
      </c>
      <c r="H21" s="118">
        <f>G21</f>
        <v/>
      </c>
      <c r="I21" s="118">
        <f>H21</f>
        <v/>
      </c>
    </row>
    <row r="22">
      <c r="A22" s="3" t="inlineStr">
        <is>
          <t>Total liabilities</t>
        </is>
      </c>
      <c r="C22" s="103">
        <f>SUM(C18:C21)</f>
        <v/>
      </c>
      <c r="D22" s="103">
        <f>SUM(D18:D21)</f>
        <v/>
      </c>
      <c r="E22" s="104">
        <f>SUM(E18:E21)</f>
        <v/>
      </c>
      <c r="F22" s="104">
        <f>SUM(F18:F21)</f>
        <v/>
      </c>
      <c r="G22" s="104">
        <f>SUM(G18:G21)</f>
        <v/>
      </c>
      <c r="H22" s="104">
        <f>SUM(H18:H21)</f>
        <v/>
      </c>
      <c r="I22" s="104">
        <f>SUM(I18:I21)</f>
        <v/>
      </c>
    </row>
    <row r="23">
      <c r="A23" s="13" t="inlineStr">
        <is>
          <t>Total equity</t>
        </is>
      </c>
      <c r="C23" s="101" t="n">
        <v>5745.299999999999</v>
      </c>
      <c r="D23" s="101" t="n">
        <v>5836.2</v>
      </c>
      <c r="E23" s="102">
        <f>D23+'Income Statement'!E23+'Income Statement'!E40-'Cash Flow'!E37-'Cash Flow'!E38</f>
        <v/>
      </c>
      <c r="F23" s="102">
        <f>E23+'Income Statement'!F23+'Income Statement'!F40-'Cash Flow'!F37-'Cash Flow'!F38</f>
        <v/>
      </c>
      <c r="G23" s="102">
        <f>F23+'Income Statement'!G23+'Income Statement'!G40-'Cash Flow'!G37-'Cash Flow'!G38</f>
        <v/>
      </c>
      <c r="H23" s="102">
        <f>G23+'Income Statement'!H23+'Income Statement'!H40-'Cash Flow'!H37-'Cash Flow'!H38</f>
        <v/>
      </c>
      <c r="I23" s="102">
        <f>H23+'Income Statement'!I23+'Income Statement'!I40-'Cash Flow'!I37-'Cash Flow'!I38</f>
        <v/>
      </c>
    </row>
    <row r="24">
      <c r="A24" s="3" t="inlineStr">
        <is>
          <t>Total liabilities &amp; equity</t>
        </is>
      </c>
      <c r="C24" s="108">
        <f>C22+C23</f>
        <v/>
      </c>
      <c r="D24" s="108">
        <f>D22+D23</f>
        <v/>
      </c>
      <c r="E24" s="109">
        <f>E22+E23</f>
        <v/>
      </c>
      <c r="F24" s="109">
        <f>F22+F23</f>
        <v/>
      </c>
      <c r="G24" s="109">
        <f>G22+G23</f>
        <v/>
      </c>
      <c r="H24" s="109">
        <f>H22+H23</f>
        <v/>
      </c>
      <c r="I24" s="109">
        <f>I22+I23</f>
        <v/>
      </c>
    </row>
    <row r="26">
      <c r="A26" s="32" t="inlineStr">
        <is>
          <t>Checks</t>
        </is>
      </c>
      <c r="B26" s="33" t="n"/>
      <c r="C26" s="33" t="n"/>
      <c r="D26" s="33" t="n"/>
      <c r="E26" s="33" t="n"/>
      <c r="F26" s="33" t="n"/>
      <c r="G26" s="33" t="n"/>
      <c r="H26" s="33" t="n"/>
      <c r="I26" s="33" t="n"/>
    </row>
    <row r="27">
      <c r="A27" s="13" t="inlineStr">
        <is>
          <t>Assets less liabilities &amp; equity (must be 0)</t>
        </is>
      </c>
      <c r="C27" s="119">
        <f>ROUND(C15-C24,3)</f>
        <v/>
      </c>
      <c r="D27" s="119">
        <f>ROUND(D15-D24,3)</f>
        <v/>
      </c>
      <c r="E27" s="111">
        <f>ROUND(E15-E24,3)</f>
        <v/>
      </c>
      <c r="F27" s="111">
        <f>ROUND(F15-F24,3)</f>
        <v/>
      </c>
      <c r="G27" s="111">
        <f>ROUND(G15-G24,3)</f>
        <v/>
      </c>
      <c r="H27" s="111">
        <f>ROUND(H15-H24,3)</f>
        <v/>
      </c>
      <c r="I27" s="111">
        <f>ROUND(I15-I24,3)</f>
        <v/>
      </c>
    </row>
    <row r="28">
      <c r="A28" s="13" t="inlineStr">
        <is>
          <t>Cash stays positive (1 = yes)</t>
        </is>
      </c>
      <c r="E28" s="61">
        <f>IF(E7&gt;=0,1,0)</f>
        <v/>
      </c>
      <c r="F28" s="61">
        <f>IF(F7&gt;=0,1,0)</f>
        <v/>
      </c>
      <c r="G28" s="61">
        <f>IF(G7&gt;=0,1,0)</f>
        <v/>
      </c>
      <c r="H28" s="61">
        <f>IF(H7&gt;=0,1,0)</f>
        <v/>
      </c>
      <c r="I28" s="61">
        <f>IF(I7&gt;=0,1,0)</f>
        <v/>
      </c>
    </row>
    <row r="29">
      <c r="A29" s="13" t="inlineStr">
        <is>
          <t>Reported total assets (10-K)</t>
        </is>
      </c>
      <c r="C29" s="101" t="n">
        <v>9488.299999999999</v>
      </c>
      <c r="D29" s="101" t="n">
        <v>9312</v>
      </c>
    </row>
    <row r="31">
      <c r="A31" s="32" t="inlineStr">
        <is>
          <t>Debt schedule</t>
        </is>
      </c>
      <c r="B31" s="33" t="n"/>
      <c r="C31" s="33" t="n"/>
      <c r="D31" s="33" t="n"/>
      <c r="E31" s="33" t="n"/>
      <c r="F31" s="33" t="n"/>
      <c r="G31" s="33" t="n"/>
      <c r="H31" s="33" t="n"/>
      <c r="I31" s="33" t="n"/>
    </row>
    <row r="32">
      <c r="A32" s="13" t="inlineStr">
        <is>
          <t>Opening debt</t>
        </is>
      </c>
      <c r="E32" s="118">
        <f>D20</f>
        <v/>
      </c>
      <c r="F32" s="118">
        <f>E20</f>
        <v/>
      </c>
      <c r="G32" s="118">
        <f>F20</f>
        <v/>
      </c>
      <c r="H32" s="118">
        <f>G20</f>
        <v/>
      </c>
      <c r="I32" s="118">
        <f>H20</f>
        <v/>
      </c>
    </row>
    <row r="33">
      <c r="A33" s="35" t="inlineStr">
        <is>
          <t>Issuance / (repayment)</t>
        </is>
      </c>
      <c r="E33" s="102">
        <f>Assumptions!E48</f>
        <v/>
      </c>
      <c r="F33" s="102">
        <f>Assumptions!F48</f>
        <v/>
      </c>
      <c r="G33" s="102">
        <f>Assumptions!G48</f>
        <v/>
      </c>
      <c r="H33" s="102">
        <f>Assumptions!H48</f>
        <v/>
      </c>
      <c r="I33" s="102">
        <f>Assumptions!I48</f>
        <v/>
      </c>
    </row>
    <row r="34">
      <c r="A34" s="13" t="inlineStr">
        <is>
          <t>Closing debt</t>
        </is>
      </c>
      <c r="E34" s="106">
        <f>E32+E33</f>
        <v/>
      </c>
      <c r="F34" s="106">
        <f>F32+F33</f>
        <v/>
      </c>
      <c r="G34" s="106">
        <f>G32+G33</f>
        <v/>
      </c>
      <c r="H34" s="106">
        <f>H32+H33</f>
        <v/>
      </c>
      <c r="I34" s="106">
        <f>I32+I33</f>
        <v/>
      </c>
    </row>
    <row r="35">
      <c r="A35" s="35" t="inlineStr">
        <is>
          <t>Interest rate on opening balance</t>
        </is>
      </c>
      <c r="E35" s="120">
        <f>Assumptions!E46</f>
        <v/>
      </c>
      <c r="F35" s="120">
        <f>Assumptions!F46</f>
        <v/>
      </c>
      <c r="G35" s="120">
        <f>Assumptions!G46</f>
        <v/>
      </c>
      <c r="H35" s="120">
        <f>Assumptions!H46</f>
        <v/>
      </c>
      <c r="I35" s="120">
        <f>Assumptions!I46</f>
        <v/>
      </c>
    </row>
    <row r="37">
      <c r="A37" s="32" t="inlineStr">
        <is>
          <t>Memo</t>
        </is>
      </c>
      <c r="B37" s="33" t="n"/>
      <c r="C37" s="33" t="n"/>
      <c r="D37" s="33" t="n"/>
      <c r="E37" s="33" t="n"/>
      <c r="F37" s="33" t="n"/>
      <c r="G37" s="33" t="n"/>
      <c r="H37" s="33" t="n"/>
      <c r="I37" s="33" t="n"/>
    </row>
    <row r="38">
      <c r="A38" s="3" t="inlineStr">
        <is>
          <t>Net debt / (net cash)</t>
        </is>
      </c>
      <c r="C38" s="88">
        <f>C20-C7-C8</f>
        <v/>
      </c>
      <c r="D38" s="88">
        <f>D20-D7-D8</f>
        <v/>
      </c>
      <c r="E38" s="117">
        <f>E20-E7-E8</f>
        <v/>
      </c>
      <c r="F38" s="117">
        <f>F20-F7-F8</f>
        <v/>
      </c>
      <c r="G38" s="117">
        <f>G20-G7-G8</f>
        <v/>
      </c>
      <c r="H38" s="117">
        <f>H20-H7-H8</f>
        <v/>
      </c>
      <c r="I38" s="117">
        <f>I20-I7-I8</f>
        <v/>
      </c>
    </row>
    <row r="39">
      <c r="A39" s="13" t="inlineStr">
        <is>
          <t>Net working capital (ex cash &amp; debt)</t>
        </is>
      </c>
      <c r="C39" s="87">
        <f>C9+C10+C11-C18-C19</f>
        <v/>
      </c>
      <c r="D39" s="87">
        <f>D9+D10+D11-D18-D19</f>
        <v/>
      </c>
      <c r="E39" s="118">
        <f>E9+E10+E11-E18-E19</f>
        <v/>
      </c>
      <c r="F39" s="118">
        <f>F9+F10+F11-F18-F19</f>
        <v/>
      </c>
      <c r="G39" s="118">
        <f>G9+G10+G11-G18-G19</f>
        <v/>
      </c>
      <c r="H39" s="118">
        <f>H9+H10+H11-H18-H19</f>
        <v/>
      </c>
      <c r="I39" s="118">
        <f>I9+I10+I11-I18-I19</f>
        <v/>
      </c>
    </row>
    <row r="40">
      <c r="A40" s="13" t="inlineStr">
        <is>
          <t>Invested capital (equity + net debt)</t>
        </is>
      </c>
      <c r="C40" s="87">
        <f>C23+C20-C7-C8</f>
        <v/>
      </c>
      <c r="D40" s="87">
        <f>D23+D20-D7-D8</f>
        <v/>
      </c>
      <c r="E40" s="118">
        <f>E23+E20-E7-E8</f>
        <v/>
      </c>
      <c r="F40" s="118">
        <f>F23+F20-F7-F8</f>
        <v/>
      </c>
      <c r="G40" s="118">
        <f>G23+G20-G7-G8</f>
        <v/>
      </c>
      <c r="H40" s="118">
        <f>H23+H20-H7-H8</f>
        <v/>
      </c>
      <c r="I40" s="118">
        <f>I23+I20-I7-I8</f>
        <v/>
      </c>
    </row>
  </sheetData>
  <printOptions gridLines="0"/>
  <pageMargins left="0.75" right="0.75" top="1" bottom="1" header="0.5" footer="0.5"/>
  <pageSetup orientation="landscape" fitToHeight="0" fitToWidth="1"/>
  <headerFooter>
    <oddHeader/>
    <oddFooter>&amp;CTrimble Inc. (TRMB) · &amp;A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3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s>
  <sheetData>
    <row r="1">
      <c r="A1" s="8" t="inlineStr">
        <is>
          <t>Cash Flow</t>
        </is>
      </c>
    </row>
    <row r="2">
      <c r="A2" s="29" t="inlineStr">
        <is>
          <t>$ millions except per-share data</t>
        </is>
      </c>
    </row>
    <row r="3">
      <c r="C3" s="29" t="inlineStr">
        <is>
          <t>Actual</t>
        </is>
      </c>
      <c r="E3" s="29" t="inlineStr">
        <is>
          <t>Projected →</t>
        </is>
      </c>
    </row>
    <row r="4">
      <c r="A4" s="30" t="inlineStr">
        <is>
          <t>Fiscal year</t>
        </is>
      </c>
      <c r="B4" s="11" t="n"/>
      <c r="C4" s="12" t="inlineStr">
        <is>
          <t>FY2024A</t>
        </is>
      </c>
      <c r="D4" s="12" t="inlineStr">
        <is>
          <t>FY2025A</t>
        </is>
      </c>
      <c r="E4" s="31" t="inlineStr">
        <is>
          <t>FY2026E</t>
        </is>
      </c>
      <c r="F4" s="12" t="inlineStr">
        <is>
          <t>FY2027E</t>
        </is>
      </c>
      <c r="G4" s="12" t="inlineStr">
        <is>
          <t>FY2028E</t>
        </is>
      </c>
      <c r="H4" s="12" t="inlineStr">
        <is>
          <t>FY2029E</t>
        </is>
      </c>
      <c r="I4" s="12" t="inlineStr">
        <is>
          <t>FY2030E</t>
        </is>
      </c>
    </row>
    <row r="6">
      <c r="A6" s="32" t="inlineStr">
        <is>
          <t>Operating activities</t>
        </is>
      </c>
      <c r="B6" s="33" t="n"/>
      <c r="C6" s="33" t="n"/>
      <c r="D6" s="33" t="n"/>
      <c r="E6" s="33" t="n"/>
      <c r="F6" s="33" t="n"/>
      <c r="G6" s="33" t="n"/>
      <c r="H6" s="33" t="n"/>
      <c r="I6" s="33" t="n"/>
    </row>
    <row r="7">
      <c r="A7" s="13" t="inlineStr">
        <is>
          <t>Net income</t>
        </is>
      </c>
      <c r="C7" s="89">
        <f>'Income Statement'!C23</f>
        <v/>
      </c>
      <c r="D7" s="89">
        <f>'Income Statement'!D23</f>
        <v/>
      </c>
      <c r="E7" s="102">
        <f>'Income Statement'!E23</f>
        <v/>
      </c>
      <c r="F7" s="102">
        <f>'Income Statement'!F23</f>
        <v/>
      </c>
      <c r="G7" s="102">
        <f>'Income Statement'!G23</f>
        <v/>
      </c>
      <c r="H7" s="102">
        <f>'Income Statement'!H23</f>
        <v/>
      </c>
      <c r="I7" s="102">
        <f>'Income Statement'!I23</f>
        <v/>
      </c>
    </row>
    <row r="8">
      <c r="A8" s="13" t="inlineStr">
        <is>
          <t>Depreciation &amp; amortization</t>
        </is>
      </c>
      <c r="C8" s="89">
        <f>'Income Statement'!C37</f>
        <v/>
      </c>
      <c r="D8" s="89">
        <f>'Income Statement'!D37</f>
        <v/>
      </c>
      <c r="E8" s="102">
        <f>'Income Statement'!E37</f>
        <v/>
      </c>
      <c r="F8" s="102">
        <f>'Income Statement'!F37</f>
        <v/>
      </c>
      <c r="G8" s="102">
        <f>'Income Statement'!G37</f>
        <v/>
      </c>
      <c r="H8" s="102">
        <f>'Income Statement'!H37</f>
        <v/>
      </c>
      <c r="I8" s="102">
        <f>'Income Statement'!I37</f>
        <v/>
      </c>
    </row>
    <row r="9">
      <c r="A9" s="13" t="inlineStr">
        <is>
          <t>Stock-based compensation</t>
        </is>
      </c>
      <c r="C9" s="89">
        <f>'Income Statement'!C40</f>
        <v/>
      </c>
      <c r="D9" s="89">
        <f>'Income Statement'!D40</f>
        <v/>
      </c>
      <c r="E9" s="102">
        <f>'Income Statement'!E40</f>
        <v/>
      </c>
      <c r="F9" s="102">
        <f>'Income Statement'!F40</f>
        <v/>
      </c>
      <c r="G9" s="102">
        <f>'Income Statement'!G40</f>
        <v/>
      </c>
      <c r="H9" s="102">
        <f>'Income Statement'!H40</f>
        <v/>
      </c>
      <c r="I9" s="102">
        <f>'Income Statement'!I40</f>
        <v/>
      </c>
    </row>
    <row r="10">
      <c r="A10" s="35" t="inlineStr">
        <is>
          <t>(Increase) / decrease in receivables</t>
        </is>
      </c>
      <c r="D10" s="89">
        <f>'Balance Sheet'!C9-'Balance Sheet'!D9</f>
        <v/>
      </c>
      <c r="E10" s="102">
        <f>'Balance Sheet'!D9-'Balance Sheet'!E9</f>
        <v/>
      </c>
      <c r="F10" s="102">
        <f>'Balance Sheet'!E9-'Balance Sheet'!F9</f>
        <v/>
      </c>
      <c r="G10" s="102">
        <f>'Balance Sheet'!F9-'Balance Sheet'!G9</f>
        <v/>
      </c>
      <c r="H10" s="102">
        <f>'Balance Sheet'!G9-'Balance Sheet'!H9</f>
        <v/>
      </c>
      <c r="I10" s="102">
        <f>'Balance Sheet'!H9-'Balance Sheet'!I9</f>
        <v/>
      </c>
    </row>
    <row r="11">
      <c r="A11" s="35" t="inlineStr">
        <is>
          <t>(Increase) / decrease in inventory</t>
        </is>
      </c>
      <c r="D11" s="89">
        <f>'Balance Sheet'!C10-'Balance Sheet'!D10</f>
        <v/>
      </c>
      <c r="E11" s="102">
        <f>'Balance Sheet'!D10-'Balance Sheet'!E10</f>
        <v/>
      </c>
      <c r="F11" s="102">
        <f>'Balance Sheet'!E10-'Balance Sheet'!F10</f>
        <v/>
      </c>
      <c r="G11" s="102">
        <f>'Balance Sheet'!F10-'Balance Sheet'!G10</f>
        <v/>
      </c>
      <c r="H11" s="102">
        <f>'Balance Sheet'!G10-'Balance Sheet'!H10</f>
        <v/>
      </c>
      <c r="I11" s="102">
        <f>'Balance Sheet'!H10-'Balance Sheet'!I10</f>
        <v/>
      </c>
    </row>
    <row r="12">
      <c r="A12" s="35" t="inlineStr">
        <is>
          <t>(Increase) / decrease in other current assets</t>
        </is>
      </c>
      <c r="D12" s="89">
        <f>'Balance Sheet'!C11-'Balance Sheet'!D11</f>
        <v/>
      </c>
      <c r="E12" s="102">
        <f>'Balance Sheet'!D11-'Balance Sheet'!E11</f>
        <v/>
      </c>
      <c r="F12" s="102">
        <f>'Balance Sheet'!E11-'Balance Sheet'!F11</f>
        <v/>
      </c>
      <c r="G12" s="102">
        <f>'Balance Sheet'!F11-'Balance Sheet'!G11</f>
        <v/>
      </c>
      <c r="H12" s="102">
        <f>'Balance Sheet'!G11-'Balance Sheet'!H11</f>
        <v/>
      </c>
      <c r="I12" s="102">
        <f>'Balance Sheet'!H11-'Balance Sheet'!I11</f>
        <v/>
      </c>
    </row>
    <row r="13">
      <c r="A13" s="35" t="inlineStr">
        <is>
          <t>Increase / (decrease) in payables</t>
        </is>
      </c>
      <c r="D13" s="89">
        <f>'Balance Sheet'!D18-'Balance Sheet'!C18</f>
        <v/>
      </c>
      <c r="E13" s="102">
        <f>'Balance Sheet'!E18-'Balance Sheet'!D18</f>
        <v/>
      </c>
      <c r="F13" s="102">
        <f>'Balance Sheet'!F18-'Balance Sheet'!E18</f>
        <v/>
      </c>
      <c r="G13" s="102">
        <f>'Balance Sheet'!G18-'Balance Sheet'!F18</f>
        <v/>
      </c>
      <c r="H13" s="102">
        <f>'Balance Sheet'!H18-'Balance Sheet'!G18</f>
        <v/>
      </c>
      <c r="I13" s="102">
        <f>'Balance Sheet'!I18-'Balance Sheet'!H18</f>
        <v/>
      </c>
    </row>
    <row r="14">
      <c r="A14" s="35" t="inlineStr">
        <is>
          <t>Increase / (decrease) in other current liabilities</t>
        </is>
      </c>
      <c r="D14" s="89">
        <f>'Balance Sheet'!D19-'Balance Sheet'!C19</f>
        <v/>
      </c>
      <c r="E14" s="102">
        <f>'Balance Sheet'!E19-'Balance Sheet'!D19</f>
        <v/>
      </c>
      <c r="F14" s="102">
        <f>'Balance Sheet'!F19-'Balance Sheet'!E19</f>
        <v/>
      </c>
      <c r="G14" s="102">
        <f>'Balance Sheet'!G19-'Balance Sheet'!F19</f>
        <v/>
      </c>
      <c r="H14" s="102">
        <f>'Balance Sheet'!H19-'Balance Sheet'!G19</f>
        <v/>
      </c>
      <c r="I14" s="102">
        <f>'Balance Sheet'!I19-'Balance Sheet'!H19</f>
        <v/>
      </c>
    </row>
    <row r="15">
      <c r="A15" s="13" t="inlineStr">
        <is>
          <t>Other operating items (reported less above)</t>
        </is>
      </c>
      <c r="C15" s="87">
        <f>531.4-SUM(C7:C14)</f>
        <v/>
      </c>
      <c r="D15" s="87">
        <f>386.0-SUM(D7:D14)</f>
        <v/>
      </c>
      <c r="E15" s="107" t="n">
        <v>0</v>
      </c>
      <c r="F15" s="107" t="n">
        <v>0</v>
      </c>
      <c r="G15" s="107" t="n">
        <v>0</v>
      </c>
      <c r="H15" s="107" t="n">
        <v>0</v>
      </c>
      <c r="I15" s="107" t="n">
        <v>0</v>
      </c>
    </row>
    <row r="16">
      <c r="A16" s="3" t="inlineStr">
        <is>
          <t>Cash from operations</t>
        </is>
      </c>
      <c r="C16" s="103">
        <f>SUM(C7:C15)</f>
        <v/>
      </c>
      <c r="D16" s="103">
        <f>SUM(D7:D15)</f>
        <v/>
      </c>
      <c r="E16" s="104">
        <f>SUM(E7:E15)</f>
        <v/>
      </c>
      <c r="F16" s="104">
        <f>SUM(F7:F15)</f>
        <v/>
      </c>
      <c r="G16" s="104">
        <f>SUM(G7:G15)</f>
        <v/>
      </c>
      <c r="H16" s="104">
        <f>SUM(H7:H15)</f>
        <v/>
      </c>
      <c r="I16" s="104">
        <f>SUM(I7:I15)</f>
        <v/>
      </c>
    </row>
    <row r="18">
      <c r="A18" s="32" t="inlineStr">
        <is>
          <t>Investing activities</t>
        </is>
      </c>
      <c r="B18" s="33" t="n"/>
      <c r="C18" s="33" t="n"/>
      <c r="D18" s="33" t="n"/>
      <c r="E18" s="33" t="n"/>
      <c r="F18" s="33" t="n"/>
      <c r="G18" s="33" t="n"/>
      <c r="H18" s="33" t="n"/>
      <c r="I18" s="33" t="n"/>
    </row>
    <row r="19">
      <c r="A19" s="13" t="inlineStr">
        <is>
          <t>Capital expenditures</t>
        </is>
      </c>
      <c r="C19" s="101" t="n">
        <v>-33.6</v>
      </c>
      <c r="D19" s="101" t="n">
        <v>-25</v>
      </c>
      <c r="E19" s="118">
        <f>-E36</f>
        <v/>
      </c>
      <c r="F19" s="118">
        <f>-F36</f>
        <v/>
      </c>
      <c r="G19" s="118">
        <f>-G36</f>
        <v/>
      </c>
      <c r="H19" s="118">
        <f>-H36</f>
        <v/>
      </c>
      <c r="I19" s="118">
        <f>-I36</f>
        <v/>
      </c>
    </row>
    <row r="20">
      <c r="A20" s="13" t="inlineStr">
        <is>
          <t>Acquisitions, investments &amp; other</t>
        </is>
      </c>
      <c r="C20" s="101" t="n">
        <v>1894.7</v>
      </c>
      <c r="D20" s="101" t="n">
        <v>0</v>
      </c>
      <c r="E20" s="107" t="n">
        <v>0</v>
      </c>
      <c r="F20" s="107" t="n">
        <v>0</v>
      </c>
      <c r="G20" s="107" t="n">
        <v>0</v>
      </c>
      <c r="H20" s="107" t="n">
        <v>0</v>
      </c>
      <c r="I20" s="107" t="n">
        <v>0</v>
      </c>
    </row>
    <row r="21">
      <c r="A21" s="3" t="inlineStr">
        <is>
          <t>Cash from investing</t>
        </is>
      </c>
      <c r="C21" s="103">
        <f>C19+C20</f>
        <v/>
      </c>
      <c r="D21" s="103">
        <f>D19+D20</f>
        <v/>
      </c>
      <c r="E21" s="104">
        <f>E19+E20</f>
        <v/>
      </c>
      <c r="F21" s="104">
        <f>F19+F20</f>
        <v/>
      </c>
      <c r="G21" s="104">
        <f>G19+G20</f>
        <v/>
      </c>
      <c r="H21" s="104">
        <f>H19+H20</f>
        <v/>
      </c>
      <c r="I21" s="104">
        <f>I19+I20</f>
        <v/>
      </c>
    </row>
    <row r="23">
      <c r="A23" s="32" t="inlineStr">
        <is>
          <t>Financing activities</t>
        </is>
      </c>
      <c r="B23" s="33" t="n"/>
      <c r="C23" s="33" t="n"/>
      <c r="D23" s="33" t="n"/>
      <c r="E23" s="33" t="n"/>
      <c r="F23" s="33" t="n"/>
      <c r="G23" s="33" t="n"/>
      <c r="H23" s="33" t="n"/>
      <c r="I23" s="33" t="n"/>
    </row>
    <row r="24">
      <c r="A24" s="13" t="inlineStr">
        <is>
          <t>Net debt issuance / (repayment)</t>
        </is>
      </c>
      <c r="E24" s="102">
        <f>'Balance Sheet'!E33</f>
        <v/>
      </c>
      <c r="F24" s="102">
        <f>'Balance Sheet'!F33</f>
        <v/>
      </c>
      <c r="G24" s="102">
        <f>'Balance Sheet'!G33</f>
        <v/>
      </c>
      <c r="H24" s="102">
        <f>'Balance Sheet'!H33</f>
        <v/>
      </c>
      <c r="I24" s="102">
        <f>'Balance Sheet'!I33</f>
        <v/>
      </c>
    </row>
    <row r="25">
      <c r="A25" s="13" t="inlineStr">
        <is>
          <t>Dividends paid</t>
        </is>
      </c>
      <c r="C25" s="101" t="n">
        <v>0</v>
      </c>
      <c r="D25" s="101" t="n">
        <v>0</v>
      </c>
      <c r="E25" s="118">
        <f>-E37</f>
        <v/>
      </c>
      <c r="F25" s="118">
        <f>-F37</f>
        <v/>
      </c>
      <c r="G25" s="118">
        <f>-G37</f>
        <v/>
      </c>
      <c r="H25" s="118">
        <f>-H37</f>
        <v/>
      </c>
      <c r="I25" s="118">
        <f>-I37</f>
        <v/>
      </c>
    </row>
    <row r="26">
      <c r="A26" s="13" t="inlineStr">
        <is>
          <t>Share repurchases</t>
        </is>
      </c>
      <c r="C26" s="101" t="n">
        <v>-175</v>
      </c>
      <c r="D26" s="101" t="n">
        <v>-875.5</v>
      </c>
      <c r="E26" s="118">
        <f>-E38</f>
        <v/>
      </c>
      <c r="F26" s="118">
        <f>-F38</f>
        <v/>
      </c>
      <c r="G26" s="118">
        <f>-G38</f>
        <v/>
      </c>
      <c r="H26" s="118">
        <f>-H38</f>
        <v/>
      </c>
      <c r="I26" s="118">
        <f>-I38</f>
        <v/>
      </c>
    </row>
    <row r="27">
      <c r="A27" s="13" t="inlineStr">
        <is>
          <t>Debt &amp; other financing (reported less above)</t>
        </is>
      </c>
      <c r="C27" s="101" t="n">
        <v>-1708.6</v>
      </c>
      <c r="D27" s="101" t="n">
        <v>20.10000000000002</v>
      </c>
      <c r="E27" s="107" t="n">
        <v>0</v>
      </c>
      <c r="F27" s="107" t="n">
        <v>0</v>
      </c>
      <c r="G27" s="107" t="n">
        <v>0</v>
      </c>
      <c r="H27" s="107" t="n">
        <v>0</v>
      </c>
      <c r="I27" s="107" t="n">
        <v>0</v>
      </c>
    </row>
    <row r="28">
      <c r="A28" s="3" t="inlineStr">
        <is>
          <t>Cash from financing</t>
        </is>
      </c>
      <c r="C28" s="103">
        <f>SUM(C24:C27)</f>
        <v/>
      </c>
      <c r="D28" s="103">
        <f>SUM(D24:D27)</f>
        <v/>
      </c>
      <c r="E28" s="104">
        <f>SUM(E24:E27)</f>
        <v/>
      </c>
      <c r="F28" s="104">
        <f>SUM(F24:F27)</f>
        <v/>
      </c>
      <c r="G28" s="104">
        <f>SUM(G24:G27)</f>
        <v/>
      </c>
      <c r="H28" s="104">
        <f>SUM(H24:H27)</f>
        <v/>
      </c>
      <c r="I28" s="104">
        <f>SUM(I24:I27)</f>
        <v/>
      </c>
    </row>
    <row r="30">
      <c r="A30" s="3" t="inlineStr">
        <is>
          <t>Net change in cash</t>
        </is>
      </c>
      <c r="C30" s="88">
        <f>C16+C21+C28</f>
        <v/>
      </c>
      <c r="D30" s="88">
        <f>D16+D21+D28</f>
        <v/>
      </c>
      <c r="E30" s="117">
        <f>E16+E21+E28</f>
        <v/>
      </c>
      <c r="F30" s="117">
        <f>F16+F21+F28</f>
        <v/>
      </c>
      <c r="G30" s="117">
        <f>G16+G21+G28</f>
        <v/>
      </c>
      <c r="H30" s="117">
        <f>H16+H21+H28</f>
        <v/>
      </c>
      <c r="I30" s="117">
        <f>I16+I21+I28</f>
        <v/>
      </c>
    </row>
    <row r="31">
      <c r="A31" s="13" t="inlineStr">
        <is>
          <t>Beginning cash</t>
        </is>
      </c>
      <c r="E31" s="102">
        <f>'Balance Sheet'!D7</f>
        <v/>
      </c>
      <c r="F31" s="102">
        <f>'Balance Sheet'!E7</f>
        <v/>
      </c>
      <c r="G31" s="102">
        <f>'Balance Sheet'!F7</f>
        <v/>
      </c>
      <c r="H31" s="102">
        <f>'Balance Sheet'!G7</f>
        <v/>
      </c>
      <c r="I31" s="102">
        <f>'Balance Sheet'!H7</f>
        <v/>
      </c>
    </row>
    <row r="32">
      <c r="A32" s="3" t="inlineStr">
        <is>
          <t>Ending cash</t>
        </is>
      </c>
      <c r="E32" s="109">
        <f>E31+E30</f>
        <v/>
      </c>
      <c r="F32" s="109">
        <f>F31+F30</f>
        <v/>
      </c>
      <c r="G32" s="109">
        <f>G31+G30</f>
        <v/>
      </c>
      <c r="H32" s="109">
        <f>H31+H30</f>
        <v/>
      </c>
      <c r="I32" s="109">
        <f>I31+I30</f>
        <v/>
      </c>
    </row>
    <row r="34">
      <c r="A34" s="32" t="inlineStr">
        <is>
          <t>Memo</t>
        </is>
      </c>
      <c r="B34" s="33" t="n"/>
      <c r="C34" s="33" t="n"/>
      <c r="D34" s="33" t="n"/>
      <c r="E34" s="33" t="n"/>
      <c r="F34" s="33" t="n"/>
      <c r="G34" s="33" t="n"/>
      <c r="H34" s="33" t="n"/>
      <c r="I34" s="33" t="n"/>
    </row>
    <row r="35">
      <c r="A35" s="3" t="inlineStr">
        <is>
          <t>Free cash flow (CFO less capex)</t>
        </is>
      </c>
      <c r="C35" s="88">
        <f>C16+C19</f>
        <v/>
      </c>
      <c r="D35" s="88">
        <f>D16+D19</f>
        <v/>
      </c>
      <c r="E35" s="117">
        <f>E16+E19</f>
        <v/>
      </c>
      <c r="F35" s="117">
        <f>F16+F19</f>
        <v/>
      </c>
      <c r="G35" s="117">
        <f>G16+G19</f>
        <v/>
      </c>
      <c r="H35" s="117">
        <f>H16+H19</f>
        <v/>
      </c>
      <c r="I35" s="117">
        <f>I16+I19</f>
        <v/>
      </c>
    </row>
    <row r="36">
      <c r="A36" s="13" t="inlineStr">
        <is>
          <t>Capex</t>
        </is>
      </c>
      <c r="C36" s="101" t="n">
        <v>33.6</v>
      </c>
      <c r="D36" s="101" t="n">
        <v>25</v>
      </c>
      <c r="E36" s="102">
        <f>'Income Statement'!E7*Assumptions!E31</f>
        <v/>
      </c>
      <c r="F36" s="102">
        <f>'Income Statement'!F7*Assumptions!F31</f>
        <v/>
      </c>
      <c r="G36" s="102">
        <f>'Income Statement'!G7*Assumptions!G31</f>
        <v/>
      </c>
      <c r="H36" s="102">
        <f>'Income Statement'!H7*Assumptions!H31</f>
        <v/>
      </c>
      <c r="I36" s="102">
        <f>'Income Statement'!I7*Assumptions!I31</f>
        <v/>
      </c>
    </row>
    <row r="37">
      <c r="A37" s="13" t="inlineStr">
        <is>
          <t>Dividends</t>
        </is>
      </c>
      <c r="C37" s="101" t="n">
        <v>0</v>
      </c>
      <c r="D37" s="101" t="n">
        <v>0</v>
      </c>
      <c r="E37" s="102">
        <f>MAX(0,'Income Statement'!E23*Assumptions!E49)</f>
        <v/>
      </c>
      <c r="F37" s="102">
        <f>MAX(0,'Income Statement'!F23*Assumptions!F49)</f>
        <v/>
      </c>
      <c r="G37" s="102">
        <f>MAX(0,'Income Statement'!G23*Assumptions!G49)</f>
        <v/>
      </c>
      <c r="H37" s="102">
        <f>MAX(0,'Income Statement'!H23*Assumptions!H49)</f>
        <v/>
      </c>
      <c r="I37" s="102">
        <f>MAX(0,'Income Statement'!I23*Assumptions!I49)</f>
        <v/>
      </c>
    </row>
    <row r="38">
      <c r="A38" s="13" t="inlineStr">
        <is>
          <t>Buybacks</t>
        </is>
      </c>
      <c r="C38" s="101" t="n">
        <v>175</v>
      </c>
      <c r="D38" s="101" t="n">
        <v>875.5</v>
      </c>
      <c r="E38" s="102">
        <f>Assumptions!E50</f>
        <v/>
      </c>
      <c r="F38" s="102">
        <f>Assumptions!F50</f>
        <v/>
      </c>
      <c r="G38" s="102">
        <f>Assumptions!G50</f>
        <v/>
      </c>
      <c r="H38" s="102">
        <f>Assumptions!H50</f>
        <v/>
      </c>
      <c r="I38" s="102">
        <f>Assumptions!I50</f>
        <v/>
      </c>
    </row>
  </sheetData>
  <printOptions gridLines="0"/>
  <pageMargins left="0.75" right="0.75" top="1" bottom="1" header="0.5" footer="0.5"/>
  <pageSetup orientation="landscape" fitToHeight="0" fitToWidth="1"/>
  <headerFooter>
    <oddHeader/>
    <oddFooter>&amp;CTrimble Inc. (TRMB) · &amp;A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2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s>
  <sheetData>
    <row r="1">
      <c r="A1" s="8" t="inlineStr">
        <is>
          <t>Ratios</t>
        </is>
      </c>
    </row>
    <row r="2">
      <c r="A2" s="29" t="inlineStr">
        <is>
          <t>Returns, cash conversion, leverage and efficiency</t>
        </is>
      </c>
    </row>
    <row r="3">
      <c r="C3" s="29" t="inlineStr">
        <is>
          <t>Actual</t>
        </is>
      </c>
      <c r="E3" s="29" t="inlineStr">
        <is>
          <t>Projected →</t>
        </is>
      </c>
    </row>
    <row r="4">
      <c r="A4" s="30" t="inlineStr">
        <is>
          <t>Fiscal year</t>
        </is>
      </c>
      <c r="B4" s="11" t="n"/>
      <c r="C4" s="12" t="inlineStr">
        <is>
          <t>FY2024A</t>
        </is>
      </c>
      <c r="D4" s="12" t="inlineStr">
        <is>
          <t>FY2025A</t>
        </is>
      </c>
      <c r="E4" s="31" t="inlineStr">
        <is>
          <t>FY2026E</t>
        </is>
      </c>
      <c r="F4" s="12" t="inlineStr">
        <is>
          <t>FY2027E</t>
        </is>
      </c>
      <c r="G4" s="12" t="inlineStr">
        <is>
          <t>FY2028E</t>
        </is>
      </c>
      <c r="H4" s="12" t="inlineStr">
        <is>
          <t>FY2029E</t>
        </is>
      </c>
      <c r="I4" s="12" t="inlineStr">
        <is>
          <t>FY2030E</t>
        </is>
      </c>
    </row>
    <row r="6">
      <c r="A6" s="32" t="inlineStr">
        <is>
          <t>Returns</t>
        </is>
      </c>
      <c r="B6" s="33" t="n"/>
      <c r="C6" s="33" t="n"/>
      <c r="D6" s="33" t="n"/>
      <c r="E6" s="33" t="n"/>
      <c r="F6" s="33" t="n"/>
      <c r="G6" s="33" t="n"/>
      <c r="H6" s="33" t="n"/>
      <c r="I6" s="33" t="n"/>
    </row>
    <row r="7">
      <c r="A7" s="3" t="inlineStr">
        <is>
          <t>Return on invested capital (after tax)</t>
        </is>
      </c>
      <c r="C7" s="121">
        <f>IF('Balance Sheet'!C40&lt;=0,0,'Income Statement'!C15*(1-'Income Statement'!C21)/'Balance Sheet'!C40)</f>
        <v/>
      </c>
      <c r="D7" s="121">
        <f>IF(AVERAGE('Balance Sheet'!D40,'Balance Sheet'!C40)&lt;=0,0,'Income Statement'!D15*(1-'Income Statement'!D21)/AVERAGE('Balance Sheet'!D40,'Balance Sheet'!C40))</f>
        <v/>
      </c>
      <c r="E7" s="95">
        <f>IF(AVERAGE('Balance Sheet'!E40,'Balance Sheet'!D40)&lt;=0,0,'Income Statement'!E15*(1-'Income Statement'!E21)/AVERAGE('Balance Sheet'!E40,'Balance Sheet'!D40))</f>
        <v/>
      </c>
      <c r="F7" s="95">
        <f>IF(AVERAGE('Balance Sheet'!F40,'Balance Sheet'!E40)&lt;=0,0,'Income Statement'!F15*(1-'Income Statement'!F21)/AVERAGE('Balance Sheet'!F40,'Balance Sheet'!E40))</f>
        <v/>
      </c>
      <c r="G7" s="95">
        <f>IF(AVERAGE('Balance Sheet'!G40,'Balance Sheet'!F40)&lt;=0,0,'Income Statement'!G15*(1-'Income Statement'!G21)/AVERAGE('Balance Sheet'!G40,'Balance Sheet'!F40))</f>
        <v/>
      </c>
      <c r="H7" s="95">
        <f>IF(AVERAGE('Balance Sheet'!H40,'Balance Sheet'!G40)&lt;=0,0,'Income Statement'!H15*(1-'Income Statement'!H21)/AVERAGE('Balance Sheet'!H40,'Balance Sheet'!G40))</f>
        <v/>
      </c>
      <c r="I7" s="95">
        <f>IF(AVERAGE('Balance Sheet'!I40,'Balance Sheet'!H40)&lt;=0,0,'Income Statement'!I15*(1-'Income Statement'!I21)/AVERAGE('Balance Sheet'!I40,'Balance Sheet'!H40))</f>
        <v/>
      </c>
    </row>
    <row r="8">
      <c r="A8" s="13" t="inlineStr">
        <is>
          <t>Return on equity</t>
        </is>
      </c>
      <c r="C8" s="91">
        <f>IF('Balance Sheet'!C23&lt;=0,0,'Income Statement'!C23/'Balance Sheet'!C23)</f>
        <v/>
      </c>
      <c r="D8" s="91">
        <f>IF('Balance Sheet'!D23&lt;=0,0,'Income Statement'!D23/'Balance Sheet'!D23)</f>
        <v/>
      </c>
      <c r="E8" s="120">
        <f>IF('Balance Sheet'!E23&lt;=0,0,'Income Statement'!E23/'Balance Sheet'!E23)</f>
        <v/>
      </c>
      <c r="F8" s="120">
        <f>IF('Balance Sheet'!F23&lt;=0,0,'Income Statement'!F23/'Balance Sheet'!F23)</f>
        <v/>
      </c>
      <c r="G8" s="120">
        <f>IF('Balance Sheet'!G23&lt;=0,0,'Income Statement'!G23/'Balance Sheet'!G23)</f>
        <v/>
      </c>
      <c r="H8" s="120">
        <f>IF('Balance Sheet'!H23&lt;=0,0,'Income Statement'!H23/'Balance Sheet'!H23)</f>
        <v/>
      </c>
      <c r="I8" s="120">
        <f>IF('Balance Sheet'!I23&lt;=0,0,'Income Statement'!I23/'Balance Sheet'!I23)</f>
        <v/>
      </c>
    </row>
    <row r="10">
      <c r="A10" s="32" t="inlineStr">
        <is>
          <t>Cash generation</t>
        </is>
      </c>
      <c r="B10" s="33" t="n"/>
      <c r="C10" s="33" t="n"/>
      <c r="D10" s="33" t="n"/>
      <c r="E10" s="33" t="n"/>
      <c r="F10" s="33" t="n"/>
      <c r="G10" s="33" t="n"/>
      <c r="H10" s="33" t="n"/>
      <c r="I10" s="33" t="n"/>
    </row>
    <row r="11">
      <c r="A11" s="13" t="inlineStr">
        <is>
          <t>Free cash flow margin</t>
        </is>
      </c>
      <c r="C11" s="91">
        <f>'Cash Flow'!C35/'Income Statement'!C7</f>
        <v/>
      </c>
      <c r="D11" s="91">
        <f>'Cash Flow'!D35/'Income Statement'!D7</f>
        <v/>
      </c>
      <c r="E11" s="120">
        <f>'Cash Flow'!E35/'Income Statement'!E7</f>
        <v/>
      </c>
      <c r="F11" s="120">
        <f>'Cash Flow'!F35/'Income Statement'!F7</f>
        <v/>
      </c>
      <c r="G11" s="120">
        <f>'Cash Flow'!G35/'Income Statement'!G7</f>
        <v/>
      </c>
      <c r="H11" s="120">
        <f>'Cash Flow'!H35/'Income Statement'!H7</f>
        <v/>
      </c>
      <c r="I11" s="120">
        <f>'Cash Flow'!I35/'Income Statement'!I7</f>
        <v/>
      </c>
    </row>
    <row r="12">
      <c r="A12" s="13" t="inlineStr">
        <is>
          <t>FCF conversion (FCF / net income)</t>
        </is>
      </c>
      <c r="C12" s="91">
        <f>IF('Income Statement'!C23&lt;=0,0,'Cash Flow'!C35/'Income Statement'!C23)</f>
        <v/>
      </c>
      <c r="D12" s="91">
        <f>IF('Income Statement'!D23&lt;=0,0,'Cash Flow'!D35/'Income Statement'!D23)</f>
        <v/>
      </c>
      <c r="E12" s="120">
        <f>IF('Income Statement'!E23&lt;=0,0,'Cash Flow'!E35/'Income Statement'!E23)</f>
        <v/>
      </c>
      <c r="F12" s="120">
        <f>IF('Income Statement'!F23&lt;=0,0,'Cash Flow'!F35/'Income Statement'!F23)</f>
        <v/>
      </c>
      <c r="G12" s="120">
        <f>IF('Income Statement'!G23&lt;=0,0,'Cash Flow'!G35/'Income Statement'!G23)</f>
        <v/>
      </c>
      <c r="H12" s="120">
        <f>IF('Income Statement'!H23&lt;=0,0,'Cash Flow'!H35/'Income Statement'!H23)</f>
        <v/>
      </c>
      <c r="I12" s="120">
        <f>IF('Income Statement'!I23&lt;=0,0,'Cash Flow'!I35/'Income Statement'!I23)</f>
        <v/>
      </c>
    </row>
    <row r="13">
      <c r="A13" s="13" t="inlineStr">
        <is>
          <t>Free cash flow per share ($)</t>
        </is>
      </c>
      <c r="C13" s="94">
        <f>IF('Income Statement'!C32=0,0,'Cash Flow'!C35/'Income Statement'!C32)</f>
        <v/>
      </c>
      <c r="D13" s="94">
        <f>IF('Income Statement'!D32=0,0,'Cash Flow'!D35/'Income Statement'!D32)</f>
        <v/>
      </c>
      <c r="E13" s="112">
        <f>IF('Income Statement'!E32=0,0,'Cash Flow'!E35/'Income Statement'!E32)</f>
        <v/>
      </c>
      <c r="F13" s="112">
        <f>IF('Income Statement'!F32=0,0,'Cash Flow'!F35/'Income Statement'!F32)</f>
        <v/>
      </c>
      <c r="G13" s="112">
        <f>IF('Income Statement'!G32=0,0,'Cash Flow'!G35/'Income Statement'!G32)</f>
        <v/>
      </c>
      <c r="H13" s="112">
        <f>IF('Income Statement'!H32=0,0,'Cash Flow'!H35/'Income Statement'!H32)</f>
        <v/>
      </c>
      <c r="I13" s="112">
        <f>IF('Income Statement'!I32=0,0,'Cash Flow'!I35/'Income Statement'!I32)</f>
        <v/>
      </c>
    </row>
    <row r="14">
      <c r="A14" s="13" t="inlineStr">
        <is>
          <t>Capex / D&amp;A</t>
        </is>
      </c>
      <c r="C14" s="122">
        <f>IF('Income Statement'!C37=0,0,'Cash Flow'!C36/'Income Statement'!C37)</f>
        <v/>
      </c>
      <c r="D14" s="122">
        <f>IF('Income Statement'!D37=0,0,'Cash Flow'!D36/'Income Statement'!D37)</f>
        <v/>
      </c>
      <c r="E14" s="123">
        <f>IF('Income Statement'!E37=0,0,'Cash Flow'!E36/'Income Statement'!E37)</f>
        <v/>
      </c>
      <c r="F14" s="123">
        <f>IF('Income Statement'!F37=0,0,'Cash Flow'!F36/'Income Statement'!F37)</f>
        <v/>
      </c>
      <c r="G14" s="123">
        <f>IF('Income Statement'!G37=0,0,'Cash Flow'!G36/'Income Statement'!G37)</f>
        <v/>
      </c>
      <c r="H14" s="123">
        <f>IF('Income Statement'!H37=0,0,'Cash Flow'!H36/'Income Statement'!H37)</f>
        <v/>
      </c>
      <c r="I14" s="123">
        <f>IF('Income Statement'!I37=0,0,'Cash Flow'!I36/'Income Statement'!I37)</f>
        <v/>
      </c>
    </row>
    <row r="15">
      <c r="A15" s="13" t="inlineStr">
        <is>
          <t>Stock comp % of revenue</t>
        </is>
      </c>
      <c r="C15" s="91">
        <f>'Income Statement'!C40/'Income Statement'!C7</f>
        <v/>
      </c>
      <c r="D15" s="91">
        <f>'Income Statement'!D40/'Income Statement'!D7</f>
        <v/>
      </c>
      <c r="E15" s="120">
        <f>'Income Statement'!E40/'Income Statement'!E7</f>
        <v/>
      </c>
      <c r="F15" s="120">
        <f>'Income Statement'!F40/'Income Statement'!F7</f>
        <v/>
      </c>
      <c r="G15" s="120">
        <f>'Income Statement'!G40/'Income Statement'!G7</f>
        <v/>
      </c>
      <c r="H15" s="120">
        <f>'Income Statement'!H40/'Income Statement'!H7</f>
        <v/>
      </c>
      <c r="I15" s="120">
        <f>'Income Statement'!I40/'Income Statement'!I7</f>
        <v/>
      </c>
    </row>
    <row r="16">
      <c r="A16" s="13" t="inlineStr">
        <is>
          <t>Shareholder returns % of FCF</t>
        </is>
      </c>
      <c r="C16" s="91">
        <f>IF('Cash Flow'!C35&lt;=0,0,('Cash Flow'!C37+'Cash Flow'!C38)/'Cash Flow'!C35)</f>
        <v/>
      </c>
      <c r="D16" s="91">
        <f>IF('Cash Flow'!D35&lt;=0,0,('Cash Flow'!D37+'Cash Flow'!D38)/'Cash Flow'!D35)</f>
        <v/>
      </c>
      <c r="E16" s="120">
        <f>IF('Cash Flow'!E35&lt;=0,0,('Cash Flow'!E37+'Cash Flow'!E38)/'Cash Flow'!E35)</f>
        <v/>
      </c>
      <c r="F16" s="120">
        <f>IF('Cash Flow'!F35&lt;=0,0,('Cash Flow'!F37+'Cash Flow'!F38)/'Cash Flow'!F35)</f>
        <v/>
      </c>
      <c r="G16" s="120">
        <f>IF('Cash Flow'!G35&lt;=0,0,('Cash Flow'!G37+'Cash Flow'!G38)/'Cash Flow'!G35)</f>
        <v/>
      </c>
      <c r="H16" s="120">
        <f>IF('Cash Flow'!H35&lt;=0,0,('Cash Flow'!H37+'Cash Flow'!H38)/'Cash Flow'!H35)</f>
        <v/>
      </c>
      <c r="I16" s="120">
        <f>IF('Cash Flow'!I35&lt;=0,0,('Cash Flow'!I37+'Cash Flow'!I38)/'Cash Flow'!I35)</f>
        <v/>
      </c>
    </row>
    <row r="18">
      <c r="A18" s="32" t="inlineStr">
        <is>
          <t>Leverage</t>
        </is>
      </c>
      <c r="B18" s="33" t="n"/>
      <c r="C18" s="33" t="n"/>
      <c r="D18" s="33" t="n"/>
      <c r="E18" s="33" t="n"/>
      <c r="F18" s="33" t="n"/>
      <c r="G18" s="33" t="n"/>
      <c r="H18" s="33" t="n"/>
      <c r="I18" s="33" t="n"/>
    </row>
    <row r="19">
      <c r="A19" s="13" t="inlineStr">
        <is>
          <t>Net debt / EBITDA</t>
        </is>
      </c>
      <c r="C19" s="122">
        <f>IF('Income Statement'!C38&lt;=0,0,'Balance Sheet'!C38/'Income Statement'!C38)</f>
        <v/>
      </c>
      <c r="D19" s="122">
        <f>IF('Income Statement'!D38&lt;=0,0,'Balance Sheet'!D38/'Income Statement'!D38)</f>
        <v/>
      </c>
      <c r="E19" s="123">
        <f>IF('Income Statement'!E38&lt;=0,0,'Balance Sheet'!E38/'Income Statement'!E38)</f>
        <v/>
      </c>
      <c r="F19" s="123">
        <f>IF('Income Statement'!F38&lt;=0,0,'Balance Sheet'!F38/'Income Statement'!F38)</f>
        <v/>
      </c>
      <c r="G19" s="123">
        <f>IF('Income Statement'!G38&lt;=0,0,'Balance Sheet'!G38/'Income Statement'!G38)</f>
        <v/>
      </c>
      <c r="H19" s="123">
        <f>IF('Income Statement'!H38&lt;=0,0,'Balance Sheet'!H38/'Income Statement'!H38)</f>
        <v/>
      </c>
      <c r="I19" s="123">
        <f>IF('Income Statement'!I38&lt;=0,0,'Balance Sheet'!I38/'Income Statement'!I38)</f>
        <v/>
      </c>
    </row>
    <row r="20">
      <c r="A20" s="13" t="inlineStr">
        <is>
          <t>EBITDA / interest expense</t>
        </is>
      </c>
      <c r="C20" s="122">
        <f>IF('Income Statement'!C17&lt;=0,0,'Income Statement'!C38/'Income Statement'!C17)</f>
        <v/>
      </c>
      <c r="D20" s="122">
        <f>IF('Income Statement'!D17&lt;=0,0,'Income Statement'!D38/'Income Statement'!D17)</f>
        <v/>
      </c>
      <c r="E20" s="123">
        <f>IF('Income Statement'!E17&lt;=0,0,'Income Statement'!E38/'Income Statement'!E17)</f>
        <v/>
      </c>
      <c r="F20" s="123">
        <f>IF('Income Statement'!F17&lt;=0,0,'Income Statement'!F38/'Income Statement'!F17)</f>
        <v/>
      </c>
      <c r="G20" s="123">
        <f>IF('Income Statement'!G17&lt;=0,0,'Income Statement'!G38/'Income Statement'!G17)</f>
        <v/>
      </c>
      <c r="H20" s="123">
        <f>IF('Income Statement'!H17&lt;=0,0,'Income Statement'!H38/'Income Statement'!H17)</f>
        <v/>
      </c>
      <c r="I20" s="123">
        <f>IF('Income Statement'!I17&lt;=0,0,'Income Statement'!I38/'Income Statement'!I17)</f>
        <v/>
      </c>
    </row>
    <row r="22">
      <c r="A22" s="32" t="inlineStr">
        <is>
          <t>Working capital</t>
        </is>
      </c>
      <c r="B22" s="33" t="n"/>
      <c r="C22" s="33" t="n"/>
      <c r="D22" s="33" t="n"/>
      <c r="E22" s="33" t="n"/>
      <c r="F22" s="33" t="n"/>
      <c r="G22" s="33" t="n"/>
      <c r="H22" s="33" t="n"/>
      <c r="I22" s="33" t="n"/>
    </row>
    <row r="23">
      <c r="A23" s="13" t="inlineStr">
        <is>
          <t>Days sales outstanding</t>
        </is>
      </c>
      <c r="C23" s="124">
        <f>'Balance Sheet'!C9/'Income Statement'!C7*365</f>
        <v/>
      </c>
      <c r="D23" s="124">
        <f>'Balance Sheet'!D9/'Income Statement'!D7*365</f>
        <v/>
      </c>
      <c r="E23" s="125">
        <f>'Balance Sheet'!E9/'Income Statement'!E7*365</f>
        <v/>
      </c>
      <c r="F23" s="125">
        <f>'Balance Sheet'!F9/'Income Statement'!F7*365</f>
        <v/>
      </c>
      <c r="G23" s="125">
        <f>'Balance Sheet'!G9/'Income Statement'!G7*365</f>
        <v/>
      </c>
      <c r="H23" s="125">
        <f>'Balance Sheet'!H9/'Income Statement'!H7*365</f>
        <v/>
      </c>
      <c r="I23" s="125">
        <f>'Balance Sheet'!I9/'Income Statement'!I7*365</f>
        <v/>
      </c>
    </row>
    <row r="24">
      <c r="A24" s="13" t="inlineStr">
        <is>
          <t>Days inventory</t>
        </is>
      </c>
      <c r="C24" s="124">
        <f>IF('Income Statement'!C9=0,0,'Balance Sheet'!C10/'Income Statement'!C9*365)</f>
        <v/>
      </c>
      <c r="D24" s="124">
        <f>IF('Income Statement'!D9=0,0,'Balance Sheet'!D10/'Income Statement'!D9*365)</f>
        <v/>
      </c>
      <c r="E24" s="125">
        <f>IF('Income Statement'!E9=0,0,'Balance Sheet'!E10/'Income Statement'!E9*365)</f>
        <v/>
      </c>
      <c r="F24" s="125">
        <f>IF('Income Statement'!F9=0,0,'Balance Sheet'!F10/'Income Statement'!F9*365)</f>
        <v/>
      </c>
      <c r="G24" s="125">
        <f>IF('Income Statement'!G9=0,0,'Balance Sheet'!G10/'Income Statement'!G9*365)</f>
        <v/>
      </c>
      <c r="H24" s="125">
        <f>IF('Income Statement'!H9=0,0,'Balance Sheet'!H10/'Income Statement'!H9*365)</f>
        <v/>
      </c>
      <c r="I24" s="125">
        <f>IF('Income Statement'!I9=0,0,'Balance Sheet'!I10/'Income Statement'!I9*365)</f>
        <v/>
      </c>
    </row>
    <row r="25">
      <c r="A25" s="13" t="inlineStr">
        <is>
          <t>Days payables</t>
        </is>
      </c>
      <c r="C25" s="124">
        <f>IF('Income Statement'!C9=0,0,'Balance Sheet'!C18/'Income Statement'!C9*365)</f>
        <v/>
      </c>
      <c r="D25" s="124">
        <f>IF('Income Statement'!D9=0,0,'Balance Sheet'!D18/'Income Statement'!D9*365)</f>
        <v/>
      </c>
      <c r="E25" s="125">
        <f>IF('Income Statement'!E9=0,0,'Balance Sheet'!E18/'Income Statement'!E9*365)</f>
        <v/>
      </c>
      <c r="F25" s="125">
        <f>IF('Income Statement'!F9=0,0,'Balance Sheet'!F18/'Income Statement'!F9*365)</f>
        <v/>
      </c>
      <c r="G25" s="125">
        <f>IF('Income Statement'!G9=0,0,'Balance Sheet'!G18/'Income Statement'!G9*365)</f>
        <v/>
      </c>
      <c r="H25" s="125">
        <f>IF('Income Statement'!H9=0,0,'Balance Sheet'!H18/'Income Statement'!H9*365)</f>
        <v/>
      </c>
      <c r="I25" s="125">
        <f>IF('Income Statement'!I9=0,0,'Balance Sheet'!I18/'Income Statement'!I9*365)</f>
        <v/>
      </c>
    </row>
    <row r="26">
      <c r="A26" s="13" t="inlineStr">
        <is>
          <t>Net working capital % of revenue</t>
        </is>
      </c>
      <c r="C26" s="91">
        <f>'Balance Sheet'!C39/'Income Statement'!C7</f>
        <v/>
      </c>
      <c r="D26" s="91">
        <f>'Balance Sheet'!D39/'Income Statement'!D7</f>
        <v/>
      </c>
      <c r="E26" s="120">
        <f>'Balance Sheet'!E39/'Income Statement'!E7</f>
        <v/>
      </c>
      <c r="F26" s="120">
        <f>'Balance Sheet'!F39/'Income Statement'!F7</f>
        <v/>
      </c>
      <c r="G26" s="120">
        <f>'Balance Sheet'!G39/'Income Statement'!G7</f>
        <v/>
      </c>
      <c r="H26" s="120">
        <f>'Balance Sheet'!H39/'Income Statement'!H7</f>
        <v/>
      </c>
      <c r="I26" s="120">
        <f>'Balance Sheet'!I39/'Income Statement'!I7</f>
        <v/>
      </c>
    </row>
  </sheetData>
  <printOptions gridLines="0"/>
  <pageMargins left="0.75" right="0.75" top="1" bottom="1" header="0.5" footer="0.5"/>
  <pageSetup orientation="landscape" fitToHeight="0" fitToWidth="1"/>
  <headerFooter>
    <oddHeader/>
    <oddFooter>&amp;CTrimble Inc. (TRMB) · &amp;A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81"/>
  <sheetViews>
    <sheetView showGridLines="0" workbookViewId="0">
      <selection activeCell="A1" sqref="A1"/>
    </sheetView>
  </sheetViews>
  <sheetFormatPr baseColWidth="8" defaultRowHeight="15"/>
  <cols>
    <col width="40" customWidth="1" min="1" max="1"/>
    <col width="13" customWidth="1" min="2" max="2"/>
    <col width="12.5" customWidth="1" min="3" max="3"/>
    <col width="12.5" customWidth="1" min="4" max="4"/>
    <col width="12.5" customWidth="1" min="5" max="5"/>
    <col width="12.5" customWidth="1" min="6" max="6"/>
    <col width="12.5" customWidth="1" min="7" max="7"/>
    <col width="12.5" customWidth="1" min="8" max="8"/>
    <col width="12.5" customWidth="1" min="9" max="9"/>
  </cols>
  <sheetData>
    <row r="1">
      <c r="A1" s="8" t="inlineStr">
        <is>
          <t>Discounted cash flow</t>
        </is>
      </c>
    </row>
    <row r="2">
      <c r="A2" s="29" t="inlineStr">
        <is>
          <t>$ millions except per-share. Yellow = input; green = link to another sheet.</t>
        </is>
      </c>
    </row>
    <row r="4">
      <c r="A4" s="32" t="inlineStr">
        <is>
          <t>Market data &amp; inputs</t>
        </is>
      </c>
      <c r="B4" s="33" t="n"/>
      <c r="C4" s="33" t="n"/>
      <c r="D4" s="33" t="n"/>
      <c r="E4" s="33" t="n"/>
      <c r="F4" s="33" t="n"/>
      <c r="G4" s="33" t="n"/>
      <c r="H4" s="33" t="n"/>
      <c r="I4" s="33" t="n"/>
    </row>
    <row r="5">
      <c r="A5" s="13" t="inlineStr">
        <is>
          <t>Share price ($)</t>
        </is>
      </c>
      <c r="C5" s="126" t="n">
        <v>57.33</v>
      </c>
    </row>
    <row r="6">
      <c r="A6" s="13" t="inlineStr">
        <is>
          <t>Price as of</t>
        </is>
      </c>
      <c r="C6" s="70" t="inlineStr">
        <is>
          <t>2026-09-21</t>
        </is>
      </c>
    </row>
    <row r="7">
      <c r="A7" s="13" t="inlineStr">
        <is>
          <t>Diluted shares (m)</t>
        </is>
      </c>
      <c r="C7" s="127" t="n">
        <v>234</v>
      </c>
    </row>
    <row r="8">
      <c r="A8" s="13" t="inlineStr">
        <is>
          <t>Risk-free rate (10-year Treasury)</t>
        </is>
      </c>
      <c r="C8" s="82" t="n">
        <v>0.0493</v>
      </c>
    </row>
    <row r="9">
      <c r="A9" s="13" t="inlineStr">
        <is>
          <t>Equity risk premium</t>
        </is>
      </c>
      <c r="C9" s="82" t="n">
        <v>0.05</v>
      </c>
    </row>
    <row r="10">
      <c r="A10" s="13" t="inlineStr">
        <is>
          <t>Beta</t>
        </is>
      </c>
      <c r="C10" s="72" t="n">
        <v>1.21</v>
      </c>
    </row>
    <row r="11">
      <c r="A11" s="13" t="inlineStr">
        <is>
          <t>Pre-tax cost of debt</t>
        </is>
      </c>
      <c r="C11" s="82" t="n">
        <v>0.053</v>
      </c>
    </row>
    <row r="12">
      <c r="A12" s="13" t="inlineStr">
        <is>
          <t>Tax rate (first projection year)</t>
        </is>
      </c>
      <c r="C12" s="91">
        <f>Assumptions!E40</f>
        <v/>
      </c>
    </row>
    <row r="13">
      <c r="A13" s="13" t="inlineStr">
        <is>
          <t>Terminal growth (selected scenario)</t>
        </is>
      </c>
      <c r="C13" s="91">
        <f>Scenarios!$G$9</f>
        <v/>
      </c>
    </row>
    <row r="14">
      <c r="A14" s="13" t="inlineStr">
        <is>
          <t>Exit EV / EBITDA (selected scenario)</t>
        </is>
      </c>
      <c r="C14" s="122">
        <f>Scenarios!$G$10</f>
        <v/>
      </c>
    </row>
    <row r="15">
      <c r="A15" s="13" t="inlineStr">
        <is>
          <t>Mid-year convention (1 = on, 0 = off)</t>
        </is>
      </c>
      <c r="C15" s="73" t="n">
        <v>1</v>
      </c>
    </row>
    <row r="17">
      <c r="A17" s="32" t="inlineStr">
        <is>
          <t>Cost of capital</t>
        </is>
      </c>
      <c r="B17" s="33" t="n"/>
      <c r="C17" s="33" t="n"/>
      <c r="D17" s="33" t="n"/>
      <c r="E17" s="33" t="n"/>
      <c r="F17" s="33" t="n"/>
      <c r="G17" s="33" t="n"/>
      <c r="H17" s="33" t="n"/>
      <c r="I17" s="33" t="n"/>
    </row>
    <row r="18">
      <c r="A18" s="13" t="inlineStr">
        <is>
          <t>Market capitalization</t>
        </is>
      </c>
      <c r="C18" s="87">
        <f>C5*C7</f>
        <v/>
      </c>
    </row>
    <row r="19">
      <c r="A19" s="13" t="inlineStr">
        <is>
          <t>Cost of equity (CAPM)</t>
        </is>
      </c>
      <c r="C19" s="90">
        <f>C8+C10*C9</f>
        <v/>
      </c>
    </row>
    <row r="20">
      <c r="A20" s="13" t="inlineStr">
        <is>
          <t>After-tax cost of debt</t>
        </is>
      </c>
      <c r="C20" s="90">
        <f>C11*(1-C12)</f>
        <v/>
      </c>
    </row>
    <row r="21">
      <c r="A21" s="13" t="inlineStr">
        <is>
          <t>Gross debt, latest actual</t>
        </is>
      </c>
      <c r="C21" s="89">
        <f>'Balance Sheet'!D20</f>
        <v/>
      </c>
    </row>
    <row r="22">
      <c r="A22" s="13" t="inlineStr">
        <is>
          <t>Net debt / (net cash), latest actual</t>
        </is>
      </c>
      <c r="C22" s="89">
        <f>'Balance Sheet'!D38</f>
        <v/>
      </c>
    </row>
    <row r="23">
      <c r="A23" s="13" t="inlineStr">
        <is>
          <t>Equity weight</t>
        </is>
      </c>
      <c r="C23" s="90">
        <f>IF(C18+C21=0,1,C18/(C18+C21))</f>
        <v/>
      </c>
    </row>
    <row r="24">
      <c r="A24" s="3" t="inlineStr">
        <is>
          <t>WACC</t>
        </is>
      </c>
      <c r="C24" s="83">
        <f>C23*C19+(1-C23)*C20</f>
        <v/>
      </c>
    </row>
    <row r="26">
      <c r="A26" s="32" t="inlineStr">
        <is>
          <t>Unlevered free cash flow</t>
        </is>
      </c>
      <c r="B26" s="33" t="n"/>
      <c r="C26" s="33" t="n"/>
      <c r="D26" s="33" t="n"/>
      <c r="E26" s="33" t="n"/>
      <c r="F26" s="33" t="n"/>
      <c r="G26" s="33" t="n"/>
      <c r="H26" s="33" t="n"/>
      <c r="I26" s="33" t="n"/>
    </row>
    <row r="27">
      <c r="A27" s="11" t="n"/>
      <c r="B27" s="11" t="n"/>
      <c r="C27" s="12" t="inlineStr">
        <is>
          <t>FY2026E</t>
        </is>
      </c>
      <c r="D27" s="12" t="inlineStr">
        <is>
          <t>FY2027E</t>
        </is>
      </c>
      <c r="E27" s="12" t="inlineStr">
        <is>
          <t>FY2028E</t>
        </is>
      </c>
      <c r="F27" s="12" t="inlineStr">
        <is>
          <t>FY2029E</t>
        </is>
      </c>
      <c r="G27" s="12" t="inlineStr">
        <is>
          <t>FY2030E</t>
        </is>
      </c>
    </row>
    <row r="28">
      <c r="A28" s="13" t="inlineStr">
        <is>
          <t>Revenue</t>
        </is>
      </c>
      <c r="C28" s="89">
        <f>'Income Statement'!E7</f>
        <v/>
      </c>
      <c r="D28" s="89">
        <f>'Income Statement'!F7</f>
        <v/>
      </c>
      <c r="E28" s="89">
        <f>'Income Statement'!G7</f>
        <v/>
      </c>
      <c r="F28" s="89">
        <f>'Income Statement'!H7</f>
        <v/>
      </c>
      <c r="G28" s="89">
        <f>'Income Statement'!I7</f>
        <v/>
      </c>
    </row>
    <row r="29">
      <c r="A29" s="13" t="inlineStr">
        <is>
          <t>EBITDA</t>
        </is>
      </c>
      <c r="C29" s="89">
        <f>'Income Statement'!E38</f>
        <v/>
      </c>
      <c r="D29" s="89">
        <f>'Income Statement'!F38</f>
        <v/>
      </c>
      <c r="E29" s="89">
        <f>'Income Statement'!G38</f>
        <v/>
      </c>
      <c r="F29" s="89">
        <f>'Income Statement'!H38</f>
        <v/>
      </c>
      <c r="G29" s="89">
        <f>'Income Statement'!I38</f>
        <v/>
      </c>
    </row>
    <row r="30">
      <c r="A30" s="13" t="inlineStr">
        <is>
          <t>EBIT</t>
        </is>
      </c>
      <c r="C30" s="89">
        <f>'Income Statement'!E15</f>
        <v/>
      </c>
      <c r="D30" s="89">
        <f>'Income Statement'!F15</f>
        <v/>
      </c>
      <c r="E30" s="89">
        <f>'Income Statement'!G15</f>
        <v/>
      </c>
      <c r="F30" s="89">
        <f>'Income Statement'!H15</f>
        <v/>
      </c>
      <c r="G30" s="89">
        <f>'Income Statement'!I15</f>
        <v/>
      </c>
    </row>
    <row r="31">
      <c r="A31" s="13" t="inlineStr">
        <is>
          <t>Less: taxes on EBIT</t>
        </is>
      </c>
      <c r="C31" s="89">
        <f>-C30*Assumptions!E40</f>
        <v/>
      </c>
      <c r="D31" s="89">
        <f>-D30*Assumptions!F40</f>
        <v/>
      </c>
      <c r="E31" s="89">
        <f>-E30*Assumptions!G40</f>
        <v/>
      </c>
      <c r="F31" s="89">
        <f>-F30*Assumptions!H40</f>
        <v/>
      </c>
      <c r="G31" s="89">
        <f>-G30*Assumptions!I40</f>
        <v/>
      </c>
    </row>
    <row r="32">
      <c r="A32" s="3" t="inlineStr">
        <is>
          <t>NOPAT</t>
        </is>
      </c>
      <c r="C32" s="88">
        <f>C30+C31</f>
        <v/>
      </c>
      <c r="D32" s="88">
        <f>D30+D31</f>
        <v/>
      </c>
      <c r="E32" s="88">
        <f>E30+E31</f>
        <v/>
      </c>
      <c r="F32" s="88">
        <f>F30+F31</f>
        <v/>
      </c>
      <c r="G32" s="88">
        <f>G30+G31</f>
        <v/>
      </c>
    </row>
    <row r="33">
      <c r="A33" s="13" t="inlineStr">
        <is>
          <t>Plus: D&amp;A</t>
        </is>
      </c>
      <c r="C33" s="89">
        <f>'Income Statement'!E37</f>
        <v/>
      </c>
      <c r="D33" s="89">
        <f>'Income Statement'!F37</f>
        <v/>
      </c>
      <c r="E33" s="89">
        <f>'Income Statement'!G37</f>
        <v/>
      </c>
      <c r="F33" s="89">
        <f>'Income Statement'!H37</f>
        <v/>
      </c>
      <c r="G33" s="89">
        <f>'Income Statement'!I37</f>
        <v/>
      </c>
    </row>
    <row r="34">
      <c r="A34" s="13" t="inlineStr">
        <is>
          <t>Less: capex</t>
        </is>
      </c>
      <c r="C34" s="89">
        <f>'Cash Flow'!E19</f>
        <v/>
      </c>
      <c r="D34" s="89">
        <f>'Cash Flow'!F19</f>
        <v/>
      </c>
      <c r="E34" s="89">
        <f>'Cash Flow'!G19</f>
        <v/>
      </c>
      <c r="F34" s="89">
        <f>'Cash Flow'!H19</f>
        <v/>
      </c>
      <c r="G34" s="89">
        <f>'Cash Flow'!I19</f>
        <v/>
      </c>
    </row>
    <row r="35">
      <c r="A35" s="13" t="inlineStr">
        <is>
          <t>Less: increase in net working capital</t>
        </is>
      </c>
      <c r="C35" s="89">
        <f>'Balance Sheet'!D39-'Balance Sheet'!E39</f>
        <v/>
      </c>
      <c r="D35" s="89">
        <f>'Balance Sheet'!E39-'Balance Sheet'!F39</f>
        <v/>
      </c>
      <c r="E35" s="89">
        <f>'Balance Sheet'!F39-'Balance Sheet'!G39</f>
        <v/>
      </c>
      <c r="F35" s="89">
        <f>'Balance Sheet'!G39-'Balance Sheet'!H39</f>
        <v/>
      </c>
      <c r="G35" s="89">
        <f>'Balance Sheet'!H39-'Balance Sheet'!I39</f>
        <v/>
      </c>
    </row>
    <row r="36">
      <c r="A36" s="3" t="inlineStr">
        <is>
          <t>Unlevered free cash flow</t>
        </is>
      </c>
      <c r="C36" s="103">
        <f>SUM(C32:C35)</f>
        <v/>
      </c>
      <c r="D36" s="103">
        <f>SUM(D32:D35)</f>
        <v/>
      </c>
      <c r="E36" s="103">
        <f>SUM(E32:E35)</f>
        <v/>
      </c>
      <c r="F36" s="103">
        <f>SUM(F32:F35)</f>
        <v/>
      </c>
      <c r="G36" s="103">
        <f>SUM(G32:G35)</f>
        <v/>
      </c>
    </row>
    <row r="37">
      <c r="A37" s="13" t="inlineStr">
        <is>
          <t>Discount period (years)</t>
        </is>
      </c>
      <c r="C37" s="128">
        <f>1-0.5*$C$15</f>
        <v/>
      </c>
      <c r="D37" s="128">
        <f>2-0.5*$C$15</f>
        <v/>
      </c>
      <c r="E37" s="128">
        <f>3-0.5*$C$15</f>
        <v/>
      </c>
      <c r="F37" s="128">
        <f>4-0.5*$C$15</f>
        <v/>
      </c>
      <c r="G37" s="128">
        <f>5-0.5*$C$15</f>
        <v/>
      </c>
    </row>
    <row r="38">
      <c r="A38" s="13" t="inlineStr">
        <is>
          <t>Discount factor</t>
        </is>
      </c>
      <c r="C38" s="75">
        <f>1/(1+$C$24)^C37</f>
        <v/>
      </c>
      <c r="D38" s="75">
        <f>1/(1+$C$24)^D37</f>
        <v/>
      </c>
      <c r="E38" s="75">
        <f>1/(1+$C$24)^E37</f>
        <v/>
      </c>
      <c r="F38" s="75">
        <f>1/(1+$C$24)^F37</f>
        <v/>
      </c>
      <c r="G38" s="75">
        <f>1/(1+$C$24)^G37</f>
        <v/>
      </c>
    </row>
    <row r="39">
      <c r="A39" s="3" t="inlineStr">
        <is>
          <t>Present value of UFCF</t>
        </is>
      </c>
      <c r="C39" s="88">
        <f>C36*C38</f>
        <v/>
      </c>
      <c r="D39" s="88">
        <f>D36*D38</f>
        <v/>
      </c>
      <c r="E39" s="88">
        <f>E36*E38</f>
        <v/>
      </c>
      <c r="F39" s="88">
        <f>F36*F38</f>
        <v/>
      </c>
      <c r="G39" s="88">
        <f>G36*G38</f>
        <v/>
      </c>
    </row>
    <row r="40">
      <c r="A40" s="29" t="inlineStr">
        <is>
          <t>Stock comp is treated as a real cost: it is not added back to free cash flow.</t>
        </is>
      </c>
    </row>
    <row r="42">
      <c r="A42" s="32" t="inlineStr">
        <is>
          <t>Valuation</t>
        </is>
      </c>
      <c r="B42" s="33" t="n"/>
      <c r="C42" s="33" t="n"/>
      <c r="D42" s="33" t="n"/>
      <c r="E42" s="33" t="n"/>
      <c r="F42" s="33" t="n"/>
      <c r="G42" s="33" t="n"/>
      <c r="H42" s="33" t="n"/>
      <c r="I42" s="33" t="n"/>
    </row>
    <row r="43">
      <c r="A43" s="11" t="n"/>
      <c r="B43" s="12" t="inlineStr">
        <is>
          <t>Perpetuity</t>
        </is>
      </c>
      <c r="C43" s="12" t="inlineStr">
        <is>
          <t>Exit multiple</t>
        </is>
      </c>
    </row>
    <row r="44">
      <c r="A44" s="13" t="inlineStr">
        <is>
          <t>Sum of PV of UFCF</t>
        </is>
      </c>
      <c r="B44" s="87">
        <f>SUM(C39:G39)</f>
        <v/>
      </c>
      <c r="C44" s="87">
        <f>SUM(C39:G39)</f>
        <v/>
      </c>
    </row>
    <row r="45">
      <c r="A45" s="13" t="inlineStr">
        <is>
          <t>Terminal value (end of final year)</t>
        </is>
      </c>
      <c r="B45" s="87">
        <f>G36*(1+C13)/(C24-C13)</f>
        <v/>
      </c>
      <c r="C45" s="87">
        <f>G29*C14</f>
        <v/>
      </c>
    </row>
    <row r="46">
      <c r="A46" s="13" t="inlineStr">
        <is>
          <t>PV of terminal value</t>
        </is>
      </c>
      <c r="B46" s="87">
        <f>B45/(1+C24)^5</f>
        <v/>
      </c>
      <c r="C46" s="87">
        <f>C45/(1+C24)^5</f>
        <v/>
      </c>
    </row>
    <row r="47">
      <c r="A47" s="3" t="inlineStr">
        <is>
          <t>Enterprise value</t>
        </is>
      </c>
      <c r="B47" s="88">
        <f>B44+B46</f>
        <v/>
      </c>
      <c r="C47" s="88">
        <f>C44+C46</f>
        <v/>
      </c>
    </row>
    <row r="48">
      <c r="A48" s="13" t="inlineStr">
        <is>
          <t>Less: net debt / plus: net cash</t>
        </is>
      </c>
      <c r="B48" s="87">
        <f>-C22</f>
        <v/>
      </c>
      <c r="C48" s="87">
        <f>-C22</f>
        <v/>
      </c>
    </row>
    <row r="49">
      <c r="A49" s="13" t="inlineStr">
        <is>
          <t>Equity value</t>
        </is>
      </c>
      <c r="B49" s="87">
        <f>B47+B48</f>
        <v/>
      </c>
      <c r="C49" s="87">
        <f>C47+C48</f>
        <v/>
      </c>
    </row>
    <row r="50">
      <c r="A50" s="3" t="inlineStr">
        <is>
          <t>Value per share ($)</t>
        </is>
      </c>
      <c r="B50" s="93">
        <f>B49/$C$7</f>
        <v/>
      </c>
      <c r="C50" s="93">
        <f>C49/$C$7</f>
        <v/>
      </c>
    </row>
    <row r="51">
      <c r="A51" s="13" t="inlineStr">
        <is>
          <t>Upside / (downside) to current price</t>
        </is>
      </c>
      <c r="B51" s="90">
        <f>IF($C$5=0,0,B50/$C$5-1)</f>
        <v/>
      </c>
      <c r="C51" s="90">
        <f>IF($C$5=0,0,C50/$C$5-1)</f>
        <v/>
      </c>
    </row>
    <row r="52">
      <c r="A52" s="13" t="inlineStr">
        <is>
          <t>Terminal value % of EV</t>
        </is>
      </c>
      <c r="B52" s="90">
        <f>B46/B47</f>
        <v/>
      </c>
      <c r="C52" s="90">
        <f>C46/C47</f>
        <v/>
      </c>
    </row>
    <row r="53">
      <c r="A53" s="13" t="inlineStr">
        <is>
          <t>Implied exit EV / EBITDA</t>
        </is>
      </c>
      <c r="B53" s="129">
        <f>B45/G29</f>
        <v/>
      </c>
      <c r="C53" s="129">
        <f>C45/G29</f>
        <v/>
      </c>
    </row>
    <row r="54">
      <c r="A54" s="13" t="inlineStr">
        <is>
          <t>Implied perpetuity growth</t>
        </is>
      </c>
      <c r="B54" s="90">
        <f>(B45*C24-G36)/(B45+G36)</f>
        <v/>
      </c>
      <c r="C54" s="90">
        <f>(C45*C24-G36)/(C45+G36)</f>
        <v/>
      </c>
    </row>
    <row r="56">
      <c r="A56" s="3" t="inlineStr">
        <is>
          <t>Value per share, 50/50 blend ($)</t>
        </is>
      </c>
      <c r="C56" s="130">
        <f>AVERAGE(B50,C50)</f>
        <v/>
      </c>
    </row>
    <row r="57">
      <c r="A57" s="3" t="inlineStr">
        <is>
          <t>Upside / (downside), blend</t>
        </is>
      </c>
      <c r="C57" s="83">
        <f>IF(C5=0,0,C56/C5-1)</f>
        <v/>
      </c>
    </row>
    <row r="59">
      <c r="A59" s="32" t="inlineStr">
        <is>
          <t>Trading multiples at current price</t>
        </is>
      </c>
      <c r="B59" s="33" t="n"/>
      <c r="C59" s="33" t="n"/>
      <c r="D59" s="33" t="n"/>
      <c r="E59" s="33" t="n"/>
      <c r="F59" s="33" t="n"/>
      <c r="G59" s="33" t="n"/>
      <c r="H59" s="33" t="n"/>
      <c r="I59" s="33" t="n"/>
    </row>
    <row r="60">
      <c r="A60" s="13" t="inlineStr">
        <is>
          <t>EV / revenue, FY+1</t>
        </is>
      </c>
      <c r="C60" s="129">
        <f>IF(C28&lt;=0,0,(C18+C22)/C28)</f>
        <v/>
      </c>
    </row>
    <row r="61">
      <c r="A61" s="13" t="inlineStr">
        <is>
          <t>EV / EBITDA, FY+1</t>
        </is>
      </c>
      <c r="C61" s="129">
        <f>IF(C29&lt;=0,0,(C18+C22)/C29)</f>
        <v/>
      </c>
    </row>
    <row r="62">
      <c r="A62" s="13" t="inlineStr">
        <is>
          <t>EV / EBITDA, latest actual</t>
        </is>
      </c>
      <c r="C62" s="122">
        <f>IF('Income Statement'!D38&lt;=0,0,(C18+C22)/'Income Statement'!D38)</f>
        <v/>
      </c>
    </row>
    <row r="63">
      <c r="A63" s="13" t="inlineStr">
        <is>
          <t>P / E, FY+1</t>
        </is>
      </c>
      <c r="C63" s="122">
        <f>IF('Income Statement'!E33&lt;=0,0,C5/'Income Statement'!E33)</f>
        <v/>
      </c>
    </row>
    <row r="64">
      <c r="A64" s="13" t="inlineStr">
        <is>
          <t>P / E, FY+2</t>
        </is>
      </c>
      <c r="C64" s="122">
        <f>IF('Income Statement'!F33&lt;=0,0,C5/'Income Statement'!F33)</f>
        <v/>
      </c>
    </row>
    <row r="65">
      <c r="A65" s="13" t="inlineStr">
        <is>
          <t>FCF yield, FY+1 (levered FCF / market cap)</t>
        </is>
      </c>
      <c r="C65" s="91">
        <f>'Cash Flow'!E35/C18</f>
        <v/>
      </c>
    </row>
    <row r="67">
      <c r="A67" s="32" t="inlineStr">
        <is>
          <t>Sensitivity: value per share (perpetuity), WACC × terminal growth</t>
        </is>
      </c>
      <c r="B67" s="33" t="n"/>
      <c r="C67" s="33" t="n"/>
      <c r="D67" s="33" t="n"/>
      <c r="E67" s="33" t="n"/>
      <c r="F67" s="33" t="n"/>
      <c r="G67" s="33" t="n"/>
      <c r="H67" s="33" t="n"/>
      <c r="I67" s="33" t="n"/>
    </row>
    <row r="68">
      <c r="B68" s="29" t="inlineStr">
        <is>
          <t>Terminal growth →</t>
        </is>
      </c>
      <c r="C68" s="83">
        <f>$C$13+(-0.01)</f>
        <v/>
      </c>
      <c r="D68" s="83">
        <f>$C$13+(-0.005)</f>
        <v/>
      </c>
      <c r="E68" s="83">
        <f>$C$13+(0)</f>
        <v/>
      </c>
      <c r="F68" s="83">
        <f>$C$13+(0.005)</f>
        <v/>
      </c>
      <c r="G68" s="83">
        <f>$C$13+(0.01)</f>
        <v/>
      </c>
    </row>
    <row r="69">
      <c r="A69" s="29" t="inlineStr">
        <is>
          <t>WACC ↓</t>
        </is>
      </c>
      <c r="B69" s="83">
        <f>$C$24+(-0.01)</f>
        <v/>
      </c>
      <c r="C69" s="92">
        <f>(NPV($B69,$C$36:$G$36)*(1+$B69)^(0.5*$C$15)+$G$36*(1+C$68)/($B69-C$68)/(1+$B69)^5-$C$22)/$C$7</f>
        <v/>
      </c>
      <c r="D69" s="92">
        <f>(NPV($B69,$C$36:$G$36)*(1+$B69)^(0.5*$C$15)+$G$36*(1+D$68)/($B69-D$68)/(1+$B69)^5-$C$22)/$C$7</f>
        <v/>
      </c>
      <c r="E69" s="92">
        <f>(NPV($B69,$C$36:$G$36)*(1+$B69)^(0.5*$C$15)+$G$36*(1+E$68)/($B69-E$68)/(1+$B69)^5-$C$22)/$C$7</f>
        <v/>
      </c>
      <c r="F69" s="92">
        <f>(NPV($B69,$C$36:$G$36)*(1+$B69)^(0.5*$C$15)+$G$36*(1+F$68)/($B69-F$68)/(1+$B69)^5-$C$22)/$C$7</f>
        <v/>
      </c>
      <c r="G69" s="92">
        <f>(NPV($B69,$C$36:$G$36)*(1+$B69)^(0.5*$C$15)+$G$36*(1+G$68)/($B69-G$68)/(1+$B69)^5-$C$22)/$C$7</f>
        <v/>
      </c>
    </row>
    <row r="70">
      <c r="B70" s="83">
        <f>$C$24+(-0.005)</f>
        <v/>
      </c>
      <c r="C70" s="92">
        <f>(NPV($B70,$C$36:$G$36)*(1+$B70)^(0.5*$C$15)+$G$36*(1+C$68)/($B70-C$68)/(1+$B70)^5-$C$22)/$C$7</f>
        <v/>
      </c>
      <c r="D70" s="92">
        <f>(NPV($B70,$C$36:$G$36)*(1+$B70)^(0.5*$C$15)+$G$36*(1+D$68)/($B70-D$68)/(1+$B70)^5-$C$22)/$C$7</f>
        <v/>
      </c>
      <c r="E70" s="92">
        <f>(NPV($B70,$C$36:$G$36)*(1+$B70)^(0.5*$C$15)+$G$36*(1+E$68)/($B70-E$68)/(1+$B70)^5-$C$22)/$C$7</f>
        <v/>
      </c>
      <c r="F70" s="92">
        <f>(NPV($B70,$C$36:$G$36)*(1+$B70)^(0.5*$C$15)+$G$36*(1+F$68)/($B70-F$68)/(1+$B70)^5-$C$22)/$C$7</f>
        <v/>
      </c>
      <c r="G70" s="92">
        <f>(NPV($B70,$C$36:$G$36)*(1+$B70)^(0.5*$C$15)+$G$36*(1+G$68)/($B70-G$68)/(1+$B70)^5-$C$22)/$C$7</f>
        <v/>
      </c>
    </row>
    <row r="71">
      <c r="B71" s="83">
        <f>$C$24+(0)</f>
        <v/>
      </c>
      <c r="C71" s="92">
        <f>(NPV($B71,$C$36:$G$36)*(1+$B71)^(0.5*$C$15)+$G$36*(1+C$68)/($B71-C$68)/(1+$B71)^5-$C$22)/$C$7</f>
        <v/>
      </c>
      <c r="D71" s="92">
        <f>(NPV($B71,$C$36:$G$36)*(1+$B71)^(0.5*$C$15)+$G$36*(1+D$68)/($B71-D$68)/(1+$B71)^5-$C$22)/$C$7</f>
        <v/>
      </c>
      <c r="E71" s="130">
        <f>(NPV($B71,$C$36:$G$36)*(1+$B71)^(0.5*$C$15)+$G$36*(1+E$68)/($B71-E$68)/(1+$B71)^5-$C$22)/$C$7</f>
        <v/>
      </c>
      <c r="F71" s="92">
        <f>(NPV($B71,$C$36:$G$36)*(1+$B71)^(0.5*$C$15)+$G$36*(1+F$68)/($B71-F$68)/(1+$B71)^5-$C$22)/$C$7</f>
        <v/>
      </c>
      <c r="G71" s="92">
        <f>(NPV($B71,$C$36:$G$36)*(1+$B71)^(0.5*$C$15)+$G$36*(1+G$68)/($B71-G$68)/(1+$B71)^5-$C$22)/$C$7</f>
        <v/>
      </c>
    </row>
    <row r="72">
      <c r="B72" s="83">
        <f>$C$24+(0.005)</f>
        <v/>
      </c>
      <c r="C72" s="92">
        <f>(NPV($B72,$C$36:$G$36)*(1+$B72)^(0.5*$C$15)+$G$36*(1+C$68)/($B72-C$68)/(1+$B72)^5-$C$22)/$C$7</f>
        <v/>
      </c>
      <c r="D72" s="92">
        <f>(NPV($B72,$C$36:$G$36)*(1+$B72)^(0.5*$C$15)+$G$36*(1+D$68)/($B72-D$68)/(1+$B72)^5-$C$22)/$C$7</f>
        <v/>
      </c>
      <c r="E72" s="92">
        <f>(NPV($B72,$C$36:$G$36)*(1+$B72)^(0.5*$C$15)+$G$36*(1+E$68)/($B72-E$68)/(1+$B72)^5-$C$22)/$C$7</f>
        <v/>
      </c>
      <c r="F72" s="92">
        <f>(NPV($B72,$C$36:$G$36)*(1+$B72)^(0.5*$C$15)+$G$36*(1+F$68)/($B72-F$68)/(1+$B72)^5-$C$22)/$C$7</f>
        <v/>
      </c>
      <c r="G72" s="92">
        <f>(NPV($B72,$C$36:$G$36)*(1+$B72)^(0.5*$C$15)+$G$36*(1+G$68)/($B72-G$68)/(1+$B72)^5-$C$22)/$C$7</f>
        <v/>
      </c>
    </row>
    <row r="73">
      <c r="B73" s="83">
        <f>$C$24+(0.01)</f>
        <v/>
      </c>
      <c r="C73" s="92">
        <f>(NPV($B73,$C$36:$G$36)*(1+$B73)^(0.5*$C$15)+$G$36*(1+C$68)/($B73-C$68)/(1+$B73)^5-$C$22)/$C$7</f>
        <v/>
      </c>
      <c r="D73" s="92">
        <f>(NPV($B73,$C$36:$G$36)*(1+$B73)^(0.5*$C$15)+$G$36*(1+D$68)/($B73-D$68)/(1+$B73)^5-$C$22)/$C$7</f>
        <v/>
      </c>
      <c r="E73" s="92">
        <f>(NPV($B73,$C$36:$G$36)*(1+$B73)^(0.5*$C$15)+$G$36*(1+E$68)/($B73-E$68)/(1+$B73)^5-$C$22)/$C$7</f>
        <v/>
      </c>
      <c r="F73" s="92">
        <f>(NPV($B73,$C$36:$G$36)*(1+$B73)^(0.5*$C$15)+$G$36*(1+F$68)/($B73-F$68)/(1+$B73)^5-$C$22)/$C$7</f>
        <v/>
      </c>
      <c r="G73" s="92">
        <f>(NPV($B73,$C$36:$G$36)*(1+$B73)^(0.5*$C$15)+$G$36*(1+G$68)/($B73-G$68)/(1+$B73)^5-$C$22)/$C$7</f>
        <v/>
      </c>
    </row>
    <row r="75">
      <c r="A75" s="32" t="inlineStr">
        <is>
          <t>Sensitivity: value per share (exit multiple), WACC × exit EV/EBITDA</t>
        </is>
      </c>
      <c r="B75" s="33" t="n"/>
      <c r="C75" s="33" t="n"/>
      <c r="D75" s="33" t="n"/>
      <c r="E75" s="33" t="n"/>
      <c r="F75" s="33" t="n"/>
      <c r="G75" s="33" t="n"/>
      <c r="H75" s="33" t="n"/>
      <c r="I75" s="33" t="n"/>
    </row>
    <row r="76">
      <c r="B76" s="29" t="inlineStr">
        <is>
          <t>Exit multiple →</t>
        </is>
      </c>
      <c r="C76" s="85">
        <f>$C$14+(-2)</f>
        <v/>
      </c>
      <c r="D76" s="85">
        <f>$C$14+(-1)</f>
        <v/>
      </c>
      <c r="E76" s="85">
        <f>$C$14+(0)</f>
        <v/>
      </c>
      <c r="F76" s="85">
        <f>$C$14+(1)</f>
        <v/>
      </c>
      <c r="G76" s="85">
        <f>$C$14+(2)</f>
        <v/>
      </c>
    </row>
    <row r="77">
      <c r="A77" s="29" t="inlineStr">
        <is>
          <t>WACC ↓</t>
        </is>
      </c>
      <c r="B77" s="83">
        <f>$C$24+(-0.01)</f>
        <v/>
      </c>
      <c r="C77" s="92">
        <f>(NPV($B77,$C$36:$G$36)*(1+$B77)^(0.5*$C$15)+$G$29*C$76/(1+$B77)^5-$C$22)/$C$7</f>
        <v/>
      </c>
      <c r="D77" s="92">
        <f>(NPV($B77,$C$36:$G$36)*(1+$B77)^(0.5*$C$15)+$G$29*D$76/(1+$B77)^5-$C$22)/$C$7</f>
        <v/>
      </c>
      <c r="E77" s="92">
        <f>(NPV($B77,$C$36:$G$36)*(1+$B77)^(0.5*$C$15)+$G$29*E$76/(1+$B77)^5-$C$22)/$C$7</f>
        <v/>
      </c>
      <c r="F77" s="92">
        <f>(NPV($B77,$C$36:$G$36)*(1+$B77)^(0.5*$C$15)+$G$29*F$76/(1+$B77)^5-$C$22)/$C$7</f>
        <v/>
      </c>
      <c r="G77" s="92">
        <f>(NPV($B77,$C$36:$G$36)*(1+$B77)^(0.5*$C$15)+$G$29*G$76/(1+$B77)^5-$C$22)/$C$7</f>
        <v/>
      </c>
    </row>
    <row r="78">
      <c r="B78" s="83">
        <f>$C$24+(-0.005)</f>
        <v/>
      </c>
      <c r="C78" s="92">
        <f>(NPV($B78,$C$36:$G$36)*(1+$B78)^(0.5*$C$15)+$G$29*C$76/(1+$B78)^5-$C$22)/$C$7</f>
        <v/>
      </c>
      <c r="D78" s="92">
        <f>(NPV($B78,$C$36:$G$36)*(1+$B78)^(0.5*$C$15)+$G$29*D$76/(1+$B78)^5-$C$22)/$C$7</f>
        <v/>
      </c>
      <c r="E78" s="92">
        <f>(NPV($B78,$C$36:$G$36)*(1+$B78)^(0.5*$C$15)+$G$29*E$76/(1+$B78)^5-$C$22)/$C$7</f>
        <v/>
      </c>
      <c r="F78" s="92">
        <f>(NPV($B78,$C$36:$G$36)*(1+$B78)^(0.5*$C$15)+$G$29*F$76/(1+$B78)^5-$C$22)/$C$7</f>
        <v/>
      </c>
      <c r="G78" s="92">
        <f>(NPV($B78,$C$36:$G$36)*(1+$B78)^(0.5*$C$15)+$G$29*G$76/(1+$B78)^5-$C$22)/$C$7</f>
        <v/>
      </c>
    </row>
    <row r="79">
      <c r="B79" s="83">
        <f>$C$24+(0)</f>
        <v/>
      </c>
      <c r="C79" s="92">
        <f>(NPV($B79,$C$36:$G$36)*(1+$B79)^(0.5*$C$15)+$G$29*C$76/(1+$B79)^5-$C$22)/$C$7</f>
        <v/>
      </c>
      <c r="D79" s="92">
        <f>(NPV($B79,$C$36:$G$36)*(1+$B79)^(0.5*$C$15)+$G$29*D$76/(1+$B79)^5-$C$22)/$C$7</f>
        <v/>
      </c>
      <c r="E79" s="130">
        <f>(NPV($B79,$C$36:$G$36)*(1+$B79)^(0.5*$C$15)+$G$29*E$76/(1+$B79)^5-$C$22)/$C$7</f>
        <v/>
      </c>
      <c r="F79" s="92">
        <f>(NPV($B79,$C$36:$G$36)*(1+$B79)^(0.5*$C$15)+$G$29*F$76/(1+$B79)^5-$C$22)/$C$7</f>
        <v/>
      </c>
      <c r="G79" s="92">
        <f>(NPV($B79,$C$36:$G$36)*(1+$B79)^(0.5*$C$15)+$G$29*G$76/(1+$B79)^5-$C$22)/$C$7</f>
        <v/>
      </c>
    </row>
    <row r="80">
      <c r="B80" s="83">
        <f>$C$24+(0.005)</f>
        <v/>
      </c>
      <c r="C80" s="92">
        <f>(NPV($B80,$C$36:$G$36)*(1+$B80)^(0.5*$C$15)+$G$29*C$76/(1+$B80)^5-$C$22)/$C$7</f>
        <v/>
      </c>
      <c r="D80" s="92">
        <f>(NPV($B80,$C$36:$G$36)*(1+$B80)^(0.5*$C$15)+$G$29*D$76/(1+$B80)^5-$C$22)/$C$7</f>
        <v/>
      </c>
      <c r="E80" s="92">
        <f>(NPV($B80,$C$36:$G$36)*(1+$B80)^(0.5*$C$15)+$G$29*E$76/(1+$B80)^5-$C$22)/$C$7</f>
        <v/>
      </c>
      <c r="F80" s="92">
        <f>(NPV($B80,$C$36:$G$36)*(1+$B80)^(0.5*$C$15)+$G$29*F$76/(1+$B80)^5-$C$22)/$C$7</f>
        <v/>
      </c>
      <c r="G80" s="92">
        <f>(NPV($B80,$C$36:$G$36)*(1+$B80)^(0.5*$C$15)+$G$29*G$76/(1+$B80)^5-$C$22)/$C$7</f>
        <v/>
      </c>
    </row>
    <row r="81">
      <c r="B81" s="83">
        <f>$C$24+(0.01)</f>
        <v/>
      </c>
      <c r="C81" s="92">
        <f>(NPV($B81,$C$36:$G$36)*(1+$B81)^(0.5*$C$15)+$G$29*C$76/(1+$B81)^5-$C$22)/$C$7</f>
        <v/>
      </c>
      <c r="D81" s="92">
        <f>(NPV($B81,$C$36:$G$36)*(1+$B81)^(0.5*$C$15)+$G$29*D$76/(1+$B81)^5-$C$22)/$C$7</f>
        <v/>
      </c>
      <c r="E81" s="92">
        <f>(NPV($B81,$C$36:$G$36)*(1+$B81)^(0.5*$C$15)+$G$29*E$76/(1+$B81)^5-$C$22)/$C$7</f>
        <v/>
      </c>
      <c r="F81" s="92">
        <f>(NPV($B81,$C$36:$G$36)*(1+$B81)^(0.5*$C$15)+$G$29*F$76/(1+$B81)^5-$C$22)/$C$7</f>
        <v/>
      </c>
      <c r="G81" s="92">
        <f>(NPV($B81,$C$36:$G$36)*(1+$B81)^(0.5*$C$15)+$G$29*G$76/(1+$B81)^5-$C$22)/$C$7</f>
        <v/>
      </c>
    </row>
  </sheetData>
  <printOptions gridLines="0"/>
  <pageMargins left="0.75" right="0.75" top="1" bottom="1" header="0.5" footer="0.5"/>
  <pageSetup orientation="landscape" fitToHeight="0" fitToWidth="1"/>
  <headerFooter>
    <oddHeader/>
    <oddFooter>&amp;CTrimble Inc. (TRMB) · &amp;A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37"/>
  <sheetViews>
    <sheetView showGridLines="0" workbookViewId="0">
      <selection activeCell="A1" sqref="A1"/>
    </sheetView>
  </sheetViews>
  <sheetFormatPr baseColWidth="8" defaultRowHeight="15"/>
  <cols>
    <col width="28" customWidth="1" min="1" max="1"/>
    <col width="58" customWidth="1" min="2" max="2"/>
    <col width="17" customWidth="1" min="3" max="3"/>
    <col width="17" customWidth="1" min="4" max="4"/>
  </cols>
  <sheetData>
    <row r="1">
      <c r="A1" s="8" t="inlineStr">
        <is>
          <t>Source data</t>
        </is>
      </c>
    </row>
    <row r="2">
      <c r="A2" s="29" t="inlineStr">
        <is>
          <t>As reported in 10-K XBRL, USD (shares in units). Source: Trimble 10-K FY2024 and FY2025 and Q4 earnings releases, collected via web search (test run; SEC API blocked in this environment) · fetched 2026-09-23</t>
        </is>
      </c>
    </row>
    <row r="4">
      <c r="A4" s="30" t="inlineStr">
        <is>
          <t>Field</t>
        </is>
      </c>
      <c r="B4" s="30" t="inlineStr">
        <is>
          <t>XBRL tag (latest year)</t>
        </is>
      </c>
      <c r="C4" s="12" t="inlineStr">
        <is>
          <t>2025-01-03</t>
        </is>
      </c>
      <c r="D4" s="12" t="inlineStr">
        <is>
          <t>2026-01-02</t>
        </is>
      </c>
    </row>
    <row r="5">
      <c r="A5" s="13" t="inlineStr">
        <is>
          <t>revenue</t>
        </is>
      </c>
      <c r="B5" s="29" t="inlineStr">
        <is>
          <t>release/10-K via web search</t>
        </is>
      </c>
      <c r="C5" s="79" t="n">
        <v>3683300000</v>
      </c>
      <c r="D5" s="79" t="n">
        <v>3587300000</v>
      </c>
    </row>
    <row r="6">
      <c r="A6" s="13" t="inlineStr">
        <is>
          <t>cogs</t>
        </is>
      </c>
      <c r="B6" s="29" t="inlineStr">
        <is>
          <t>release/10-K via web search</t>
        </is>
      </c>
      <c r="C6" s="79" t="n">
        <v>1287000000</v>
      </c>
      <c r="D6" s="79" t="n">
        <v>1109400000</v>
      </c>
    </row>
    <row r="7">
      <c r="A7" s="13" t="inlineStr">
        <is>
          <t>gross_profit</t>
        </is>
      </c>
      <c r="B7" s="29" t="inlineStr">
        <is>
          <t>release/10-K via web search</t>
        </is>
      </c>
      <c r="C7" s="79" t="n">
        <v>2396300000</v>
      </c>
      <c r="D7" s="79" t="n">
        <v>2477900000</v>
      </c>
    </row>
    <row r="8">
      <c r="A8" s="13" t="inlineStr">
        <is>
          <t>rnd</t>
        </is>
      </c>
      <c r="B8" s="29" t="inlineStr">
        <is>
          <t>release/10-K via web search</t>
        </is>
      </c>
      <c r="C8" s="79" t="n">
        <v>662300000</v>
      </c>
      <c r="D8" s="79" t="n">
        <v>630700000</v>
      </c>
    </row>
    <row r="9">
      <c r="A9" s="13" t="inlineStr">
        <is>
          <t>sga</t>
        </is>
      </c>
      <c r="B9" s="29" t="inlineStr">
        <is>
          <t>release/10-K via web search</t>
        </is>
      </c>
      <c r="C9" s="79" t="n">
        <v>1151700000</v>
      </c>
      <c r="D9" s="79" t="n">
        <v>1129100000</v>
      </c>
    </row>
    <row r="10">
      <c r="A10" s="13" t="inlineStr">
        <is>
          <t>ebit</t>
        </is>
      </c>
      <c r="B10" s="29" t="inlineStr">
        <is>
          <t>release/10-K via web search</t>
        </is>
      </c>
      <c r="C10" s="79" t="n">
        <v>460700000</v>
      </c>
      <c r="D10" s="79" t="n">
        <v>592000000</v>
      </c>
    </row>
    <row r="11">
      <c r="A11" s="13" t="inlineStr">
        <is>
          <t>interest_expense</t>
        </is>
      </c>
      <c r="B11" s="29" t="inlineStr">
        <is>
          <t>release/10-K via web search</t>
        </is>
      </c>
      <c r="C11" s="79" t="n">
        <v>90700000</v>
      </c>
      <c r="D11" s="79" t="n">
        <v>74400000</v>
      </c>
    </row>
    <row r="12">
      <c r="A12" s="13" t="inlineStr">
        <is>
          <t>pretax</t>
        </is>
      </c>
      <c r="B12" s="29" t="inlineStr">
        <is>
          <t>release/10-K via web search</t>
        </is>
      </c>
      <c r="C12" s="79" t="n">
        <v>2005900000</v>
      </c>
      <c r="D12" s="79" t="n">
        <v>509400000</v>
      </c>
    </row>
    <row r="13">
      <c r="A13" s="13" t="inlineStr">
        <is>
          <t>tax</t>
        </is>
      </c>
      <c r="B13" s="29" t="inlineStr">
        <is>
          <t>release/10-K via web search</t>
        </is>
      </c>
      <c r="C13" s="79" t="n">
        <v>501500000</v>
      </c>
      <c r="D13" s="79" t="n">
        <v>85400000</v>
      </c>
    </row>
    <row r="14">
      <c r="A14" s="13" t="inlineStr">
        <is>
          <t>net_income</t>
        </is>
      </c>
      <c r="B14" s="29" t="inlineStr">
        <is>
          <t>release/10-K via web search</t>
        </is>
      </c>
      <c r="C14" s="79" t="n">
        <v>1504400000</v>
      </c>
      <c r="D14" s="79" t="n">
        <v>424000000</v>
      </c>
    </row>
    <row r="15">
      <c r="A15" s="13" t="inlineStr">
        <is>
          <t>diluted_shares</t>
        </is>
      </c>
      <c r="B15" s="29" t="inlineStr">
        <is>
          <t>derived: net income / diluted EPS</t>
        </is>
      </c>
      <c r="C15" s="79" t="n">
        <v>247027914.6141215</v>
      </c>
      <c r="D15" s="79" t="n">
        <v>240909090.9090909</v>
      </c>
    </row>
    <row r="16">
      <c r="A16" s="13" t="inlineStr">
        <is>
          <t>cfo</t>
        </is>
      </c>
      <c r="B16" s="29" t="inlineStr">
        <is>
          <t>release/10-K via web search</t>
        </is>
      </c>
      <c r="C16" s="79" t="n">
        <v>531400000</v>
      </c>
      <c r="D16" s="79" t="n">
        <v>386000000</v>
      </c>
    </row>
    <row r="17">
      <c r="A17" s="13" t="inlineStr">
        <is>
          <t>da</t>
        </is>
      </c>
      <c r="B17" s="29" t="inlineStr">
        <is>
          <t>release/10-K via web search</t>
        </is>
      </c>
      <c r="C17" s="79" t="n">
        <v>232000000</v>
      </c>
      <c r="D17" s="79" t="n">
        <v>199900000</v>
      </c>
    </row>
    <row r="18">
      <c r="A18" s="13" t="inlineStr">
        <is>
          <t>sbc</t>
        </is>
      </c>
      <c r="B18" s="29" t="inlineStr">
        <is>
          <t>release/10-K via web search</t>
        </is>
      </c>
      <c r="C18" s="79" t="n">
        <v>158600000</v>
      </c>
      <c r="D18" s="79" t="n">
        <v>146500000</v>
      </c>
    </row>
    <row r="19">
      <c r="A19" s="13" t="inlineStr">
        <is>
          <t>capex</t>
        </is>
      </c>
      <c r="B19" s="29" t="inlineStr">
        <is>
          <t>derived: CFO − FCF ($386M − $361M)</t>
        </is>
      </c>
      <c r="C19" s="79" t="n">
        <v>33600000</v>
      </c>
      <c r="D19" s="79" t="n">
        <v>25000000</v>
      </c>
    </row>
    <row r="20">
      <c r="A20" s="13" t="inlineStr">
        <is>
          <t>cfi</t>
        </is>
      </c>
      <c r="B20" s="29" t="inlineStr">
        <is>
          <t>derived: capex only</t>
        </is>
      </c>
      <c r="C20" s="79" t="n">
        <v>1861100000</v>
      </c>
      <c r="D20" s="79" t="n">
        <v>-25000000</v>
      </c>
    </row>
    <row r="21">
      <c r="A21" s="13" t="inlineStr">
        <is>
          <t>cff</t>
        </is>
      </c>
      <c r="B21" s="29" t="inlineStr">
        <is>
          <t>derived from cash change</t>
        </is>
      </c>
      <c r="C21" s="79" t="n">
        <v>-1883600000</v>
      </c>
      <c r="D21" s="79" t="n">
        <v>-855400000</v>
      </c>
    </row>
    <row r="22">
      <c r="A22" s="13" t="inlineStr">
        <is>
          <t>dividends</t>
        </is>
      </c>
      <c r="B22" s="29" t="inlineStr">
        <is>
          <t>release/10-K via web search</t>
        </is>
      </c>
      <c r="C22" s="79" t="n">
        <v>0</v>
      </c>
      <c r="D22" s="79" t="n">
        <v>0</v>
      </c>
    </row>
    <row r="23">
      <c r="A23" s="13" t="inlineStr">
        <is>
          <t>buybacks</t>
        </is>
      </c>
      <c r="B23" s="29" t="inlineStr">
        <is>
          <t>release/10-K via web search</t>
        </is>
      </c>
      <c r="C23" s="79" t="n">
        <v>175000000</v>
      </c>
      <c r="D23" s="79" t="n">
        <v>875500000</v>
      </c>
    </row>
    <row r="24">
      <c r="A24" s="13" t="inlineStr">
        <is>
          <t>cash</t>
        </is>
      </c>
      <c r="B24" s="29" t="inlineStr">
        <is>
          <t>release/10-K via web search</t>
        </is>
      </c>
      <c r="C24" s="79" t="n">
        <v>747800000</v>
      </c>
      <c r="D24" s="79" t="n">
        <v>253400000</v>
      </c>
    </row>
    <row r="25">
      <c r="A25" s="13" t="inlineStr">
        <is>
          <t>st_investments</t>
        </is>
      </c>
      <c r="B25" s="29" t="inlineStr">
        <is>
          <t>release/10-K via web search</t>
        </is>
      </c>
      <c r="C25" s="79" t="n">
        <v>0</v>
      </c>
      <c r="D25" s="79" t="n">
        <v>0</v>
      </c>
    </row>
    <row r="26">
      <c r="A26" s="13" t="inlineStr">
        <is>
          <t>ar</t>
        </is>
      </c>
      <c r="B26" s="29" t="inlineStr">
        <is>
          <t>release/10-K via web search</t>
        </is>
      </c>
      <c r="C26" s="79" t="n">
        <v>725800000</v>
      </c>
      <c r="D26" s="79" t="n">
        <v>856000000</v>
      </c>
    </row>
    <row r="27">
      <c r="A27" s="13" t="inlineStr">
        <is>
          <t>inventory</t>
        </is>
      </c>
      <c r="B27" s="29" t="inlineStr">
        <is>
          <t>release/10-K via web search</t>
        </is>
      </c>
      <c r="C27" s="79" t="n">
        <v>194300000</v>
      </c>
      <c r="D27" s="79" t="n">
        <v>186300000</v>
      </c>
    </row>
    <row r="28">
      <c r="A28" s="13" t="inlineStr">
        <is>
          <t>total_current_assets</t>
        </is>
      </c>
      <c r="B28" s="29" t="inlineStr">
        <is>
          <t>release/10-K via web search</t>
        </is>
      </c>
      <c r="C28" s="79" t="n">
        <v>2270400000</v>
      </c>
      <c r="D28" s="79" t="n">
        <v>1631900000</v>
      </c>
    </row>
    <row r="29">
      <c r="A29" s="13" t="inlineStr">
        <is>
          <t>ppe</t>
        </is>
      </c>
      <c r="B29" s="29" t="inlineStr">
        <is>
          <t>derived: FY24 PP&amp;E + capex − depreciation</t>
        </is>
      </c>
      <c r="C29" s="79" t="n">
        <v>188400000</v>
      </c>
      <c r="D29" s="79" t="n">
        <v>185500000</v>
      </c>
    </row>
    <row r="30">
      <c r="A30" s="13" t="inlineStr">
        <is>
          <t>total_assets</t>
        </is>
      </c>
      <c r="B30" s="29" t="inlineStr">
        <is>
          <t>release/10-K via web search</t>
        </is>
      </c>
      <c r="C30" s="79" t="n">
        <v>9488300000</v>
      </c>
      <c r="D30" s="79" t="n">
        <v>9312000000</v>
      </c>
    </row>
    <row r="31">
      <c r="A31" s="13" t="inlineStr">
        <is>
          <t>ap</t>
        </is>
      </c>
      <c r="B31" s="29" t="inlineStr">
        <is>
          <t>release/10-K via web search</t>
        </is>
      </c>
      <c r="C31" s="79" t="n">
        <v>161600000</v>
      </c>
      <c r="D31" s="79" t="n">
        <v>168300000</v>
      </c>
    </row>
    <row r="32">
      <c r="A32" s="13" t="inlineStr">
        <is>
          <t>total_current_liabilities</t>
        </is>
      </c>
      <c r="B32" s="29" t="inlineStr">
        <is>
          <t>release/10-K via web search</t>
        </is>
      </c>
      <c r="C32" s="79" t="n">
        <v>1788000000</v>
      </c>
      <c r="D32" s="79" t="n">
        <v>1503400000</v>
      </c>
    </row>
    <row r="33">
      <c r="A33" s="13" t="inlineStr">
        <is>
          <t>st_debt</t>
        </is>
      </c>
      <c r="B33" s="29" t="inlineStr">
        <is>
          <t>release/10-K via web search</t>
        </is>
      </c>
      <c r="C33" s="79" t="n">
        <v>0</v>
      </c>
      <c r="D33" s="79" t="n">
        <v>0</v>
      </c>
    </row>
    <row r="34">
      <c r="A34" s="13" t="inlineStr">
        <is>
          <t>lt_debt</t>
        </is>
      </c>
      <c r="B34" s="29" t="inlineStr">
        <is>
          <t>release/10-K via web search</t>
        </is>
      </c>
      <c r="C34" s="79" t="n">
        <v>1390600000</v>
      </c>
      <c r="D34" s="79" t="n">
        <v>1392200000</v>
      </c>
    </row>
    <row r="35">
      <c r="A35" s="13" t="inlineStr">
        <is>
          <t>total_liabilities</t>
        </is>
      </c>
      <c r="B35" s="29" t="inlineStr">
        <is>
          <t>release/10-K via web search</t>
        </is>
      </c>
      <c r="C35" s="79" t="n">
        <v>3743000000</v>
      </c>
      <c r="D35" s="79" t="n">
        <v>3475800000</v>
      </c>
    </row>
    <row r="36">
      <c r="A36" s="13" t="inlineStr">
        <is>
          <t>equity</t>
        </is>
      </c>
      <c r="B36" s="29" t="inlineStr">
        <is>
          <t>release/10-K via web search</t>
        </is>
      </c>
      <c r="C36" s="79" t="n">
        <v>5745300000</v>
      </c>
      <c r="D36" s="79" t="n">
        <v>5836200000</v>
      </c>
    </row>
    <row r="37">
      <c r="A37" s="13" t="inlineStr">
        <is>
          <t>liabilities_and_equity</t>
        </is>
      </c>
      <c r="B37" s="29" t="inlineStr">
        <is>
          <t>release/10-K via web search</t>
        </is>
      </c>
      <c r="C37" s="79" t="n">
        <v>9488300000</v>
      </c>
      <c r="D37" s="79" t="n">
        <v>9312000000</v>
      </c>
    </row>
  </sheetData>
  <printOptions gridLines="0"/>
  <pageMargins left="0.75" right="0.75" top="1" bottom="1" header="0.5" footer="0.5"/>
  <pageSetup orientation="landscape" fitToHeight="0" fitToWidth="1"/>
  <headerFooter>
    <oddHeader/>
    <oddFooter>&amp;CTrimble Inc. (TRMB) · &amp;A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2026-09-23T02:02:57Z</dcterms:created>
  <dcterms:modified xsi:type="dcterms:W3CDTF">2026-09-23T02:02:57Z</dcterms:modified>
</cp:coreProperties>
</file>